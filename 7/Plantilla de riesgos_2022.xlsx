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atdevalencia-my.sharepoint.com/personal/toni_garcia_uv_es/Documents/DRIVE/Universidad/DOCENCIA/202122/GP/P7/"/>
    </mc:Choice>
  </mc:AlternateContent>
  <xr:revisionPtr revIDLastSave="0" documentId="8_{6D9077A9-1324-4ACC-A5A0-1B1CE08F08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DOS" sheetId="1" r:id="rId1"/>
    <sheet name="SELECCION" sheetId="4" r:id="rId2"/>
    <sheet name="MITIGACIÓN" sheetId="6" r:id="rId3"/>
    <sheet name="CONTINGENCIA" sheetId="7" r:id="rId4"/>
    <sheet name="NIVEL DE RIESG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7" l="1"/>
  <c r="F31" i="7"/>
  <c r="F24" i="7"/>
  <c r="F17" i="7"/>
  <c r="F10" i="7"/>
  <c r="F3" i="7"/>
  <c r="F40" i="6"/>
  <c r="F38" i="6"/>
  <c r="F33" i="6"/>
  <c r="F31" i="6"/>
  <c r="F26" i="6"/>
  <c r="F24" i="6"/>
  <c r="F19" i="6"/>
  <c r="F17" i="6"/>
  <c r="F12" i="6"/>
  <c r="F10" i="6"/>
  <c r="F5" i="6"/>
  <c r="F3" i="6"/>
  <c r="E20" i="4" l="1"/>
  <c r="E18" i="4"/>
  <c r="E16" i="4"/>
  <c r="E14" i="4"/>
  <c r="E12" i="4"/>
  <c r="E10" i="4"/>
  <c r="E8" i="4"/>
  <c r="E6" i="4"/>
  <c r="E4" i="4"/>
  <c r="E125" i="1"/>
  <c r="E124" i="1"/>
  <c r="E123" i="1"/>
  <c r="E122" i="1"/>
  <c r="E121" i="1"/>
  <c r="E120" i="1"/>
  <c r="E116" i="1" s="1"/>
  <c r="E119" i="1"/>
  <c r="E118" i="1"/>
  <c r="E117" i="1"/>
  <c r="E115" i="1"/>
  <c r="E114" i="1"/>
  <c r="E113" i="1"/>
  <c r="E112" i="1"/>
  <c r="E111" i="1"/>
  <c r="E106" i="1" s="1"/>
  <c r="E110" i="1"/>
  <c r="E109" i="1"/>
  <c r="E108" i="1"/>
  <c r="E107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0" i="1"/>
  <c r="E79" i="1"/>
  <c r="E78" i="1" s="1"/>
  <c r="E77" i="1"/>
  <c r="E76" i="1"/>
  <c r="E75" i="1"/>
  <c r="E74" i="1"/>
  <c r="E73" i="1"/>
  <c r="E72" i="1"/>
  <c r="E71" i="1"/>
  <c r="E70" i="1"/>
  <c r="E69" i="1"/>
  <c r="E68" i="1"/>
  <c r="E67" i="1"/>
  <c r="E63" i="1" s="1"/>
  <c r="E66" i="1"/>
  <c r="E65" i="1"/>
  <c r="E64" i="1"/>
  <c r="E62" i="1"/>
  <c r="E61" i="1"/>
  <c r="E60" i="1"/>
  <c r="E59" i="1"/>
  <c r="E58" i="1" s="1"/>
  <c r="E57" i="1"/>
  <c r="E54" i="1" s="1"/>
  <c r="E56" i="1"/>
  <c r="E55" i="1"/>
  <c r="E53" i="1"/>
  <c r="E52" i="1"/>
  <c r="E51" i="1"/>
  <c r="E50" i="1"/>
  <c r="E49" i="1"/>
  <c r="E48" i="1"/>
  <c r="E47" i="1"/>
  <c r="E46" i="1"/>
  <c r="E45" i="1"/>
  <c r="E44" i="1"/>
  <c r="E43" i="1"/>
  <c r="E41" i="1"/>
  <c r="E40" i="1"/>
  <c r="E39" i="1"/>
  <c r="E38" i="1"/>
  <c r="E36" i="1"/>
  <c r="E35" i="1"/>
  <c r="E34" i="1"/>
  <c r="E33" i="1"/>
  <c r="E32" i="1"/>
  <c r="E31" i="1"/>
  <c r="E29" i="1" s="1"/>
  <c r="E30" i="1"/>
  <c r="E28" i="1"/>
  <c r="E27" i="1"/>
  <c r="E26" i="1"/>
  <c r="E25" i="1"/>
  <c r="E24" i="1"/>
  <c r="E23" i="1"/>
  <c r="E22" i="1"/>
  <c r="E21" i="1"/>
  <c r="E20" i="1"/>
  <c r="E19" i="1"/>
  <c r="E18" i="1"/>
  <c r="E17" i="1"/>
  <c r="E15" i="1"/>
  <c r="E14" i="1"/>
  <c r="E13" i="1"/>
  <c r="E12" i="1"/>
  <c r="E11" i="1"/>
  <c r="E10" i="1"/>
  <c r="E9" i="1"/>
  <c r="E8" i="1"/>
  <c r="E7" i="1"/>
  <c r="E6" i="1"/>
  <c r="E5" i="1"/>
  <c r="E4" i="1"/>
  <c r="E42" i="1" l="1"/>
  <c r="E16" i="1"/>
  <c r="E81" i="1"/>
  <c r="E37" i="1"/>
  <c r="C4" i="5"/>
  <c r="C2" i="5"/>
  <c r="C3" i="5"/>
  <c r="E3" i="1"/>
  <c r="C6" i="5" l="1"/>
  <c r="C9" i="5" s="1"/>
  <c r="C7" i="5"/>
  <c r="C10" i="5" s="1"/>
  <c r="F18" i="4" l="1"/>
  <c r="F20" i="4"/>
  <c r="F14" i="4"/>
  <c r="F16" i="4"/>
  <c r="F12" i="4"/>
  <c r="F8" i="4"/>
  <c r="F10" i="4"/>
  <c r="F4" i="4"/>
  <c r="F6" i="4"/>
</calcChain>
</file>

<file path=xl/sharedStrings.xml><?xml version="1.0" encoding="utf-8"?>
<sst xmlns="http://schemas.openxmlformats.org/spreadsheetml/2006/main" count="388" uniqueCount="280">
  <si>
    <t xml:space="preserve">A.1. </t>
  </si>
  <si>
    <t>Las definiciones de la planificación, de los recursos y del producto han sido impuestas por el cliente o un directivo superior, y no están equilibradas.</t>
  </si>
  <si>
    <t xml:space="preserve">A.2. </t>
  </si>
  <si>
    <t>Planificación optimista, «mejor caso» (en lugar de realista, «caso esperado»).</t>
  </si>
  <si>
    <t xml:space="preserve">A.3. </t>
  </si>
  <si>
    <t>La planificación no incluye tareas necesarias.</t>
  </si>
  <si>
    <t xml:space="preserve">A.4. </t>
  </si>
  <si>
    <t>La planificación se ha basado en la utilización de personas específicas de un equipo, pero estas personas no están disponibles.</t>
  </si>
  <si>
    <t xml:space="preserve">A.5. </t>
  </si>
  <si>
    <t>No se puede construir un producto de tal envergadura en el tiempo asignado.</t>
  </si>
  <si>
    <t xml:space="preserve">A.6. </t>
  </si>
  <si>
    <t>El producto es más grande que el estimado (en líneas de código, en el número de puntos función, o en relación con el tamaño del proyecto anterior).</t>
  </si>
  <si>
    <t xml:space="preserve">A.7. </t>
  </si>
  <si>
    <t>El esfuerzo es mayor que el estimado (por líneas de código, número de puntos función, módulos, etc.).</t>
  </si>
  <si>
    <t xml:space="preserve">A.8. </t>
  </si>
  <si>
    <t>La reestimación debida a un retraso en la planificación es demasiado optimista o ignora la historia del proyecto.</t>
  </si>
  <si>
    <t xml:space="preserve">A.9. </t>
  </si>
  <si>
    <t>La presión excesiva en la planificación reduce la productividad.</t>
  </si>
  <si>
    <t>A.10.</t>
  </si>
  <si>
    <t>La fecha final ha cambiado sin ajustarse al ámbito del producto o a los recursos disponibles.</t>
  </si>
  <si>
    <t>A.11.</t>
  </si>
  <si>
    <t>Un retraso en una tarea produce retrasos en cascada en las tareas dependientes.</t>
  </si>
  <si>
    <t>A.12.</t>
  </si>
  <si>
    <t>Las áreas desconocidas del producto llevan más tiempo del esperado en el diseño y en la implementación.</t>
  </si>
  <si>
    <t>Elaboración de la Planificación</t>
  </si>
  <si>
    <t>A</t>
  </si>
  <si>
    <t>RIESGO</t>
  </si>
  <si>
    <t>PROBABILIDAD</t>
  </si>
  <si>
    <t>COD.</t>
  </si>
  <si>
    <t xml:space="preserve">B.1. </t>
  </si>
  <si>
    <t>El proyecto carece de un promotor efectivo en los superiores.</t>
  </si>
  <si>
    <t xml:space="preserve">B.2. </t>
  </si>
  <si>
    <t>El proyecto languidece demasiado en el inicio difuso.</t>
  </si>
  <si>
    <t xml:space="preserve">B.3. </t>
  </si>
  <si>
    <t>Los despidos y las reducciones de la plantilla reducen la capacidad del equipo.</t>
  </si>
  <si>
    <t xml:space="preserve">B.4. </t>
  </si>
  <si>
    <t>Dirección o marketing insisten en tomar decisiones técnicas que alargan la planificación</t>
  </si>
  <si>
    <t xml:space="preserve">B.5. </t>
  </si>
  <si>
    <t>La estructura inadecuada de un equipo reduce la productividad.</t>
  </si>
  <si>
    <t xml:space="preserve">B.6. </t>
  </si>
  <si>
    <t>El ciclo de revisión/decisión de la directiva es más lento de lo esperado.</t>
  </si>
  <si>
    <t xml:space="preserve">B.7. </t>
  </si>
  <si>
    <t>El presupuesto varía el plan del proyecto.</t>
  </si>
  <si>
    <t xml:space="preserve">B.8. </t>
  </si>
  <si>
    <t>La dirección toma decisiones que reducen la motivación del equipo de desarrollo.</t>
  </si>
  <si>
    <t xml:space="preserve">B.9. </t>
  </si>
  <si>
    <t>Las tareas no técnicas encargadas a terceros necesitan más tiempo del esperado (aprobación del presupuesto, aprobación de la adquisición de material, revisiones legales, seguridad, etc.).</t>
  </si>
  <si>
    <t>B.10.</t>
  </si>
  <si>
    <t>La planificación es demasiado mala para ajustarse a la velocidad de desarrollo deseada.</t>
  </si>
  <si>
    <t>B.11.</t>
  </si>
  <si>
    <t>Los planes del proyecto se abandonan por la presión, llevando al caos y a un desarrollo ineficiente.</t>
  </si>
  <si>
    <t>B.12.</t>
  </si>
  <si>
    <t>La dirección pone más énfasis en las heroicidades que en informarse exactamente del estado, lo que reduce su habilidad para detectar y corregir problemas.</t>
  </si>
  <si>
    <t>Organización y Gestión</t>
  </si>
  <si>
    <t>B</t>
  </si>
  <si>
    <t>Ambiente/Infraestructura de Desarrollo</t>
  </si>
  <si>
    <t>C</t>
  </si>
  <si>
    <t>C.1.</t>
  </si>
  <si>
    <t>Los espacios no están disponibles en el momento necesario.</t>
  </si>
  <si>
    <t>C.2.</t>
  </si>
  <si>
    <t>Los espacios están disponibles pero no son adecuados (por ejemplo, falta de teléfonos, cableado de la red, mobiliario, material de oficina, etc.).</t>
  </si>
  <si>
    <t xml:space="preserve">C.3. </t>
  </si>
  <si>
    <t>Los espacios están sobreutilizados, son ruidosos o distraen.</t>
  </si>
  <si>
    <t xml:space="preserve">C.4. </t>
  </si>
  <si>
    <t>Las herramientas de desarrollo no están disponibles en el momento deseado.</t>
  </si>
  <si>
    <t xml:space="preserve">C.5. </t>
  </si>
  <si>
    <t>Las herramientas de desarrollo no funcionan como se esperaba; el personal de desarrollo necesita tiempo para resolverlo o adaptarse a las nuevas herramientas.</t>
  </si>
  <si>
    <t xml:space="preserve">C.6. </t>
  </si>
  <si>
    <t>Las herramientas de desarrollo no se han elegido en función de sus características técnicas, y no proporcionan las prestaciones previstas.</t>
  </si>
  <si>
    <t xml:space="preserve">C.7. </t>
  </si>
  <si>
    <t>La curva de aprendizaje para la nueva herramienta de desarrollo es más larga de lo esperado.</t>
  </si>
  <si>
    <t>Usuarios Finales</t>
  </si>
  <si>
    <t>D</t>
  </si>
  <si>
    <t xml:space="preserve">D.1. </t>
  </si>
  <si>
    <t>Los usuarios finales insisten en nuevos requisitos.</t>
  </si>
  <si>
    <t xml:space="preserve">D.2. </t>
  </si>
  <si>
    <t>En el último momento, a los usuarios finales no les gusta el producto, por lo que hay que volver a diseñarlo y a construirlo.</t>
  </si>
  <si>
    <t xml:space="preserve">D.3. </t>
  </si>
  <si>
    <t>Los usuarios no han realizado la compra del material necesario para el proyecto  y,  por tanto, no tienen la infraestructura necesaria.</t>
  </si>
  <si>
    <t xml:space="preserve">D.4. </t>
  </si>
  <si>
    <t>No se ha solicitado información al usuario, por lo que el producto al final no se ajusta a las necesidades del usuario, y hay que volver a crear el producto.</t>
  </si>
  <si>
    <t>E</t>
  </si>
  <si>
    <t>Cliente</t>
  </si>
  <si>
    <t>E.1.</t>
  </si>
  <si>
    <t>El cliente insiste en nuevos requisitos.</t>
  </si>
  <si>
    <t>E.2.</t>
  </si>
  <si>
    <t>Los ciclos de revisión/decisión del cliente para los planes, prototipos y especificaciones son más lentos de lo esperado.</t>
  </si>
  <si>
    <t>E.3.</t>
  </si>
  <si>
    <t>El cliente no participa en los ciclos de revisión de los planes, prototipos y especificaciones, o es incapaz de hacerlo, resultando unos requisitos inestables y la necesidad de realizar unos cambios que consumen tiempo.</t>
  </si>
  <si>
    <t xml:space="preserve">E.4. </t>
  </si>
  <si>
    <t>El tiempo de comunicación del cliente (por ejemplo, tiempo para responder a las preguntas para aclarar los requisitos) es más lento del esperado.</t>
  </si>
  <si>
    <t xml:space="preserve">E.5. </t>
  </si>
  <si>
    <t>El cliente insiste en las decisiones técnicas' que alargan la planificación.</t>
  </si>
  <si>
    <t xml:space="preserve">E.6. </t>
  </si>
  <si>
    <t>El cliente intenta controlar el proceso de desarrollo, con lo que el progreso es más lento de lo esperado.</t>
  </si>
  <si>
    <t xml:space="preserve">E.7. </t>
  </si>
  <si>
    <t>Los componentes suministrados por el cliente no son adecuados para el producto que se está desarrollando, por lo que se tiene que hacer un trabajo extra de diseño e integración.</t>
  </si>
  <si>
    <t xml:space="preserve">E.8. </t>
  </si>
  <si>
    <t>Los componentes suministrados por el cliente tienen poca calidad, por lo que tienen que hacerse trabajos extra de comprobación, diseño e integración.</t>
  </si>
  <si>
    <t xml:space="preserve">E.9. </t>
  </si>
  <si>
    <t>Las herramientas de soporte y entornos impuestos por el cliente son incompatibles, tienen un bajo rendimiento o no funcionan de forma adecuada, con lo que se reduce la productividad.</t>
  </si>
  <si>
    <t>E.10.</t>
  </si>
  <si>
    <t>El cliente no acepta el software entregado, incluso aunque cumpla todas sus especificaciones.</t>
  </si>
  <si>
    <t>E.11.</t>
  </si>
  <si>
    <t>El cliente piensa en una velocidad de desarrollo que el personal de desarrollo no puede alcanzar</t>
  </si>
  <si>
    <t>F</t>
  </si>
  <si>
    <t>Personal Contratado</t>
  </si>
  <si>
    <t xml:space="preserve">F.1. </t>
  </si>
  <si>
    <t>El personal contratado no suministra los componentes en el período establecido.</t>
  </si>
  <si>
    <t xml:space="preserve">F.2. </t>
  </si>
  <si>
    <t>El personal contratado proporciona material de una calidad inaceptable, por lo que hay que añadir un tiempo extra para mejorar la calidad.</t>
  </si>
  <si>
    <t xml:space="preserve">F.3. </t>
  </si>
  <si>
    <t>Los proveedores no se integran en el proyecto, con lo que no se alcanza el nivel  de rendimiento que se necesita</t>
  </si>
  <si>
    <t>G</t>
  </si>
  <si>
    <t>Requisitos</t>
  </si>
  <si>
    <t xml:space="preserve">G.1. </t>
  </si>
  <si>
    <t>Los requisitos se han adaptado, pero continúan cambiando.</t>
  </si>
  <si>
    <t xml:space="preserve">G.2. </t>
  </si>
  <si>
    <t>Los requisitos no se han definido correctamente. y su redefinición aumenta el ámbito del proyecto.</t>
  </si>
  <si>
    <t xml:space="preserve">G.3. </t>
  </si>
  <si>
    <t>Se añaden requisitos extra.</t>
  </si>
  <si>
    <t xml:space="preserve">G.4. </t>
  </si>
  <si>
    <t>Las partes del proyecto que se no se han especificado claramente consumen más tiempo del  esperado</t>
  </si>
  <si>
    <t>H</t>
  </si>
  <si>
    <t>Producto</t>
  </si>
  <si>
    <t xml:space="preserve">H.1. </t>
  </si>
  <si>
    <t>Los módulos propensos a tener errores necesitan más trabajo de comprobación, diseño e implementación.</t>
  </si>
  <si>
    <t xml:space="preserve">H.2. </t>
  </si>
  <si>
    <t>Una calidad no aceptable requiere de un trabajo de comprobación, diseño e implementación superior al esperado.</t>
  </si>
  <si>
    <t xml:space="preserve">H.3. </t>
  </si>
  <si>
    <t>Utilizar lo último en informática alarga la planificación de forma impredecible.</t>
  </si>
  <si>
    <t xml:space="preserve">H.4. </t>
  </si>
  <si>
    <t>El desarrollo de funciones software erróneas requiere volver a diseñarlas y a implementarlas.</t>
  </si>
  <si>
    <t xml:space="preserve">H.5. </t>
  </si>
  <si>
    <t>El desarrollo de una interfaz de usuario inadecuada requiere volver a diseñarla y a implementarla.</t>
  </si>
  <si>
    <t xml:space="preserve">H.6. </t>
  </si>
  <si>
    <t>El desarrollo de funciones software innecesario alarga la planificación.</t>
  </si>
  <si>
    <t xml:space="preserve">H.7. </t>
  </si>
  <si>
    <t>Alcanzar el ámbito del producto o las restricciones de velocidad requiere más tiempo del esperado, incluyendo el tiempo para volver a diseñar e implementar.</t>
  </si>
  <si>
    <t xml:space="preserve">H.8. </t>
  </si>
  <si>
    <t>Unos requisitos rígidos de compatibilidad con el sistema existente necesitan un trabajo extra de comprobación, diseño e implementación.</t>
  </si>
  <si>
    <t xml:space="preserve">H.9. </t>
  </si>
  <si>
    <t>Los requisitos para crear interfaces con otros sistemas, otros sistemas complejos, u otros sistemas que no están bajo el control del equipo de desarrollo suponen un diseño, implementación y prueba no previstos.</t>
  </si>
  <si>
    <t>H.10.</t>
  </si>
  <si>
    <t xml:space="preserve">El requisito de trabajar con varios sistemas operativos necesita más tiempo del esperado. </t>
  </si>
  <si>
    <t>H.11.</t>
  </si>
  <si>
    <t>El trabajo con un entorno software desconocido causa problemas no previstos.</t>
  </si>
  <si>
    <t>H.12.</t>
  </si>
  <si>
    <t>El trabajo con un entorno hardware desconocido causa problemas imprevistos.</t>
  </si>
  <si>
    <t>H.13.</t>
  </si>
  <si>
    <t>El desarrollo de un tipo de componente nuevo para la organización consume más tiempo del  esperado.</t>
  </si>
  <si>
    <t>H.14.</t>
  </si>
  <si>
    <t>Depender de una tecnología que aún está en fase de desarrollo alarga la planificación</t>
  </si>
  <si>
    <t>I</t>
  </si>
  <si>
    <t>Fuerzas mayores</t>
  </si>
  <si>
    <t xml:space="preserve">I.1. </t>
  </si>
  <si>
    <t>El producto depende de las normativas del gobierno, que pueden cambiar de forma inesperada.</t>
  </si>
  <si>
    <t xml:space="preserve">I.2. </t>
  </si>
  <si>
    <t>El producto depende de estándares técnicos provisionales, que pueden cambiar de forma inesperada.</t>
  </si>
  <si>
    <t>J</t>
  </si>
  <si>
    <t>Personal</t>
  </si>
  <si>
    <t>J.1.</t>
  </si>
  <si>
    <t>La contratación tarda más de lo esperado.</t>
  </si>
  <si>
    <t xml:space="preserve">J.2. </t>
  </si>
  <si>
    <t>Las tareas preliminares (por ejemplo, formación, finalización de otros proyectos, adquisición de  licencias) no se han completado a tiempo.</t>
  </si>
  <si>
    <t xml:space="preserve">J.3. </t>
  </si>
  <si>
    <t>La falta de relaciones entre la dirección y el equipo de desarrollo ralentiza la toma de decisiones.</t>
  </si>
  <si>
    <t>J.4.</t>
  </si>
  <si>
    <t>Los miembros del equipo no se implican en el proyecto, y por lo tanto no alcanzan el nivel de rendimiento deseado.</t>
  </si>
  <si>
    <t xml:space="preserve">J.5. </t>
  </si>
  <si>
    <t>La falta de motivación y de moral reduce la productividad.</t>
  </si>
  <si>
    <t xml:space="preserve">J.6. </t>
  </si>
  <si>
    <t>La falta de la especialización necesaria aumenta los defectos y la necesidad de repetir el trabajo.</t>
  </si>
  <si>
    <t xml:space="preserve">J.7. </t>
  </si>
  <si>
    <t>El personal necesita un tiempo extra para acostumbrarse a trabajar con herramientas o entornos nuevos.</t>
  </si>
  <si>
    <t xml:space="preserve">J.8. </t>
  </si>
  <si>
    <t>El personal necesita un tiempo extra para acostumbrarse a trabajar con hardware nuevo.</t>
  </si>
  <si>
    <t xml:space="preserve">J.9. </t>
  </si>
  <si>
    <t>El personal necesita un tiempo extra para aprender un lenguaje de programación nuevo.</t>
  </si>
  <si>
    <t xml:space="preserve">J.10. </t>
  </si>
  <si>
    <t>El personal contratado abandona el proyecto antes de su finalización.</t>
  </si>
  <si>
    <t xml:space="preserve">J.11. </t>
  </si>
  <si>
    <t>Alguien de la plantilla abandona el proyecto antes de su finalización.</t>
  </si>
  <si>
    <t xml:space="preserve">J.12. </t>
  </si>
  <si>
    <t>La incorporación de nuevo personal de desarrollo al proyecto ya avanzado, y el  Aprendizaje y comunicaciones extra imprevistas reducen la eficiencia de los miembros del equipo existentes.</t>
  </si>
  <si>
    <t xml:space="preserve">J.13. </t>
  </si>
  <si>
    <t>Los miembros del equipo no trabajan bien juntos.</t>
  </si>
  <si>
    <t xml:space="preserve">J.14. </t>
  </si>
  <si>
    <t>Los conflictos entre los miembros del equipo conducen a problemas en la comunicación y en el  diseño, errores en la interfaz y tener que repetir algunos trabajos.</t>
  </si>
  <si>
    <t xml:space="preserve">J.15. </t>
  </si>
  <si>
    <t>Los miembros problemáticos de un equipo no son apartados, influyendo  Negativamente en la motivación del resto del equipo.</t>
  </si>
  <si>
    <t xml:space="preserve">J.16. </t>
  </si>
  <si>
    <t>Las personas más apropiadas para trabajar en el proyecto no están disponibles.</t>
  </si>
  <si>
    <t xml:space="preserve">J.17. </t>
  </si>
  <si>
    <t>Las personas más apropiadas para trabajar en el proyecto están disponibles, pero no se pueden incorporar por razones políticas o de otro tipo.</t>
  </si>
  <si>
    <t xml:space="preserve">J.18. </t>
  </si>
  <si>
    <t>Se necesitan personas para el proyecto con habilidades muy específicas y no se encuentran.</t>
  </si>
  <si>
    <t xml:space="preserve">J.19. </t>
  </si>
  <si>
    <t>Las personas clave sólo están disponibles una parte del tiempo.</t>
  </si>
  <si>
    <t xml:space="preserve">J.20. </t>
  </si>
  <si>
    <t>No hay suficiente personal disponible para el proyecto.</t>
  </si>
  <si>
    <t xml:space="preserve">J.21. </t>
  </si>
  <si>
    <t>Las tareas asignadas al personal no se ajustan a sus posibilidades.</t>
  </si>
  <si>
    <t xml:space="preserve">J.22. </t>
  </si>
  <si>
    <t>El personal trabaja más lento de lo esperado.</t>
  </si>
  <si>
    <t xml:space="preserve">J.23. </t>
  </si>
  <si>
    <t>El sabotaje por parte de la dirección del proyecto deriva en una planificación ineficiente e inefectiva.</t>
  </si>
  <si>
    <t xml:space="preserve">J.24. </t>
  </si>
  <si>
    <t>El sabotaje por parte del personal técnico deriva en una pérdida de trabajo o en un trabajo de poca calidad, por lo que hay que repetir algunos trabajos.</t>
  </si>
  <si>
    <t>K</t>
  </si>
  <si>
    <t>Diseño e Implementación</t>
  </si>
  <si>
    <t xml:space="preserve">K.1. </t>
  </si>
  <si>
    <t>Un diseño demasiado sencillo no cubre las cuestiones principales, con lo que hay que volver a diseñar e implementar.</t>
  </si>
  <si>
    <t xml:space="preserve">K.2. </t>
  </si>
  <si>
    <t>Un diseño demasiado complejo exige tener en cuenta complicaciones innecesarias e improductivas en la implementación.</t>
  </si>
  <si>
    <t xml:space="preserve">K.3. </t>
  </si>
  <si>
    <t>Un mal diseño implica volver a diseñar e implementar.</t>
  </si>
  <si>
    <t xml:space="preserve">K.4. </t>
  </si>
  <si>
    <t>La utilización de metodologías desconocidas deriva en un periodo extra de formación   tener que volver atrás para corregir los errores iniciales cometidos en la metodología.</t>
  </si>
  <si>
    <t xml:space="preserve">K.5. </t>
  </si>
  <si>
    <t>El producto está implementado en un lenguaje de bajo nivel (por ejemplo, ensamblador) y la productividad es menor de la esperada.</t>
  </si>
  <si>
    <t xml:space="preserve">K.6. </t>
  </si>
  <si>
    <t>No se puede implementar la funcionalidad deseada con el lenguaje o bibliotecas utilizados: el  personal de desarrollo tiene que utilizar otras bibliotecas, o crearlas él mismo para conseguir la  funcionalidad deseada.</t>
  </si>
  <si>
    <t xml:space="preserve">K.7. </t>
  </si>
  <si>
    <t>Las bibliotecas de código o clases tienen poca calidad, y generan una comprobación extra, corrección de errores y la repetición de algunos trabajos.</t>
  </si>
  <si>
    <t xml:space="preserve">K.8. </t>
  </si>
  <si>
    <t>Se ha sobreestimado el ahorro en la planificación derivado del uso de herramientas para mejorar la productividad.</t>
  </si>
  <si>
    <t xml:space="preserve">K.9. </t>
  </si>
  <si>
    <t>Los componentes desarrollados por separado no se pueden integrar de forma sencilla, teniendo que volver a diseñar y repetir algunos trabajos</t>
  </si>
  <si>
    <t>L</t>
  </si>
  <si>
    <t>Proceso</t>
  </si>
  <si>
    <t xml:space="preserve">L.1. </t>
  </si>
  <si>
    <t>La burocracia produce un progreso más lento del esperado.</t>
  </si>
  <si>
    <t xml:space="preserve">L.2. </t>
  </si>
  <si>
    <t>La falta de un seguimiento exacto del progreso hace que se desconozca que el proyecto esté retrasado hasta que está muy avanzado.</t>
  </si>
  <si>
    <t xml:space="preserve">L.3. </t>
  </si>
  <si>
    <t>Las actividades iniciales de control de calidad son recortadas, haciendo que se tenga que repetir el trabajo.</t>
  </si>
  <si>
    <t xml:space="preserve">L.4. </t>
  </si>
  <si>
    <t>Un control de calidad inadecuado hace que los problemas de calidad que afectan a la planificación se conozcan tarde.</t>
  </si>
  <si>
    <t xml:space="preserve">L.5. </t>
  </si>
  <si>
    <t>La falta de rigor (ignorar los fundamentos y estándares del desarrollo de software) conduce a fallos de comunicación, problemas de calidad y  repetición del trabajo. Un consumo de tiempo innecesario.</t>
  </si>
  <si>
    <t xml:space="preserve">L.6. </t>
  </si>
  <si>
    <t>El exceso de rigor (aferramiento burocrático a las políticas y estándares de software) lleva a gastar más tiempo en gestión del necesario.</t>
  </si>
  <si>
    <t xml:space="preserve">L.7. </t>
  </si>
  <si>
    <t>La creación de informes de estado a nivel de directiva lleva más tiempo al desarrollador de lo  esperado.</t>
  </si>
  <si>
    <t xml:space="preserve">L.8. </t>
  </si>
  <si>
    <t>La falta de entusiasmo en la gestión de riesgos impide detectar los riesgos más importantes del  proyecto.</t>
  </si>
  <si>
    <t xml:space="preserve">L.9. </t>
  </si>
  <si>
    <t>La gestión de riesgos del proyecto software consume más tiempo del esperado.</t>
  </si>
  <si>
    <t>IMPACTO</t>
  </si>
  <si>
    <t>Máximo</t>
  </si>
  <si>
    <t>LISTADO DE RIESGOS MÁS HABITUALES EN UN PROYECTO TIC</t>
  </si>
  <si>
    <t>C/D</t>
  </si>
  <si>
    <t>Ambiente/Infraestructura de Desarrollo - Usuarios Finales</t>
  </si>
  <si>
    <t>F/G</t>
  </si>
  <si>
    <t>Personal Contratado - Requisitos</t>
  </si>
  <si>
    <t>H/I</t>
  </si>
  <si>
    <t>Producto - Fuerzas Mayores</t>
  </si>
  <si>
    <t>SELECCIÓN DE RIESGOS MÁS CRITICOS POR CATEGORIA</t>
  </si>
  <si>
    <t>V. RIESGO</t>
  </si>
  <si>
    <t>MEDIDAS DE CONTINGENCIA</t>
  </si>
  <si>
    <t>MEDIDAS DE MITIGACIÓN</t>
  </si>
  <si>
    <t>RIESGO 1</t>
  </si>
  <si>
    <t>RIESGO 2</t>
  </si>
  <si>
    <t>RIESGO 3</t>
  </si>
  <si>
    <t>MAXIMO VALOR</t>
  </si>
  <si>
    <t>MINIMO VALOR</t>
  </si>
  <si>
    <t>PROMEDIO</t>
  </si>
  <si>
    <t>DIFERENCIA SUP</t>
  </si>
  <si>
    <t>DIFERENCIA INF</t>
  </si>
  <si>
    <t>MITIGACIÓN</t>
  </si>
  <si>
    <t>CONTINGENCIA</t>
  </si>
  <si>
    <t>ACC. RECOMEN</t>
  </si>
  <si>
    <t>NUEVA PROB.</t>
  </si>
  <si>
    <t>NUEVO IMPC.</t>
  </si>
  <si>
    <t>RIESGO 4</t>
  </si>
  <si>
    <t>RIESGO 5</t>
  </si>
  <si>
    <t>RIESGO 6</t>
  </si>
  <si>
    <t>ACCIONES DE CONTINGENCIA  DE RIESGOS</t>
  </si>
  <si>
    <t>ACCIONES DE MITIGACION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</si>
</sst>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9" fontId="0" fillId="0" borderId="1" xfId="1" applyFont="1" applyBorder="1"/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center"/>
    </xf>
    <xf numFmtId="9" fontId="0" fillId="0" borderId="1" xfId="1" applyFont="1" applyBorder="1" applyAlignment="1">
      <alignment wrapText="1"/>
    </xf>
    <xf numFmtId="0" fontId="0" fillId="0" borderId="14" xfId="0" applyBorder="1"/>
    <xf numFmtId="0" fontId="1" fillId="3" borderId="5" xfId="0" applyFon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17" xfId="0" applyFont="1" applyFill="1" applyBorder="1" applyAlignment="1"/>
    <xf numFmtId="0" fontId="2" fillId="2" borderId="18" xfId="0" applyFont="1" applyFill="1" applyBorder="1" applyAlignment="1"/>
    <xf numFmtId="0" fontId="6" fillId="2" borderId="4" xfId="0" applyFont="1" applyFill="1" applyBorder="1" applyAlignment="1">
      <alignment vertical="center"/>
    </xf>
    <xf numFmtId="0" fontId="2" fillId="2" borderId="4" xfId="0" applyFont="1" applyFill="1" applyBorder="1" applyAlignment="1"/>
    <xf numFmtId="165" fontId="0" fillId="0" borderId="0" xfId="0" applyNumberFormat="1"/>
    <xf numFmtId="0" fontId="0" fillId="0" borderId="0" xfId="0" applyProtection="1">
      <protection hidden="1"/>
    </xf>
    <xf numFmtId="2" fontId="0" fillId="0" borderId="0" xfId="0" applyNumberFormat="1" applyAlignment="1" applyProtection="1">
      <alignment horizontal="center"/>
      <protection hidden="1"/>
    </xf>
    <xf numFmtId="165" fontId="0" fillId="0" borderId="0" xfId="0" applyNumberFormat="1" applyAlignment="1" applyProtection="1">
      <alignment horizontal="center"/>
      <protection hidden="1"/>
    </xf>
    <xf numFmtId="164" fontId="0" fillId="0" borderId="0" xfId="0" applyNumberFormat="1"/>
    <xf numFmtId="0" fontId="4" fillId="0" borderId="0" xfId="0" applyFont="1" applyBorder="1" applyAlignment="1"/>
    <xf numFmtId="0" fontId="1" fillId="3" borderId="20" xfId="0" applyFont="1" applyFill="1" applyBorder="1" applyAlignment="1"/>
    <xf numFmtId="0" fontId="0" fillId="0" borderId="21" xfId="0" applyBorder="1" applyAlignment="1"/>
    <xf numFmtId="0" fontId="1" fillId="3" borderId="22" xfId="0" applyFont="1" applyFill="1" applyBorder="1" applyAlignment="1"/>
    <xf numFmtId="0" fontId="0" fillId="0" borderId="23" xfId="0" applyBorder="1" applyAlignment="1"/>
    <xf numFmtId="0" fontId="1" fillId="3" borderId="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64" fontId="2" fillId="4" borderId="31" xfId="0" applyNumberFormat="1" applyFont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38" xfId="0" applyFont="1" applyFill="1" applyBorder="1" applyAlignment="1"/>
    <xf numFmtId="0" fontId="2" fillId="2" borderId="39" xfId="0" applyFont="1" applyFill="1" applyBorder="1" applyAlignment="1"/>
    <xf numFmtId="0" fontId="2" fillId="2" borderId="40" xfId="0" applyFont="1" applyFill="1" applyBorder="1" applyAlignment="1"/>
    <xf numFmtId="0" fontId="4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29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19" xfId="0" applyFont="1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9" fontId="0" fillId="0" borderId="24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4" fontId="2" fillId="4" borderId="25" xfId="0" applyNumberFormat="1" applyFont="1" applyFill="1" applyBorder="1" applyAlignment="1">
      <alignment horizontal="center" vertical="center"/>
    </xf>
    <xf numFmtId="164" fontId="2" fillId="4" borderId="36" xfId="0" applyNumberFormat="1" applyFont="1" applyFill="1" applyBorder="1" applyAlignment="1">
      <alignment horizontal="center" vertical="center"/>
    </xf>
    <xf numFmtId="164" fontId="2" fillId="4" borderId="37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showGridLines="0" tabSelected="1" zoomScale="90" zoomScaleNormal="90" workbookViewId="0">
      <pane ySplit="2" topLeftCell="A3" activePane="bottomLeft" state="frozen"/>
      <selection pane="bottomLeft" activeCell="C4" sqref="C4"/>
    </sheetView>
  </sheetViews>
  <sheetFormatPr baseColWidth="10" defaultRowHeight="15" x14ac:dyDescent="0.25"/>
  <cols>
    <col min="1" max="1" width="5" style="1" customWidth="1"/>
    <col min="2" max="2" width="118.7109375" customWidth="1"/>
    <col min="3" max="3" width="14.140625" bestFit="1" customWidth="1"/>
  </cols>
  <sheetData>
    <row r="1" spans="1:6" ht="18.75" x14ac:dyDescent="0.3">
      <c r="A1" s="58" t="s">
        <v>251</v>
      </c>
      <c r="B1" s="58"/>
      <c r="C1" s="58"/>
      <c r="D1" s="58"/>
      <c r="E1" s="58"/>
      <c r="F1" s="2"/>
    </row>
    <row r="2" spans="1:6" x14ac:dyDescent="0.25">
      <c r="A2" s="7" t="s">
        <v>28</v>
      </c>
      <c r="B2" s="8" t="s">
        <v>26</v>
      </c>
      <c r="C2" s="8" t="s">
        <v>27</v>
      </c>
      <c r="D2" s="7" t="s">
        <v>249</v>
      </c>
      <c r="E2" s="7" t="s">
        <v>26</v>
      </c>
    </row>
    <row r="3" spans="1:6" x14ac:dyDescent="0.25">
      <c r="A3" s="6" t="s">
        <v>25</v>
      </c>
      <c r="B3" s="21" t="s">
        <v>24</v>
      </c>
      <c r="C3" s="22"/>
      <c r="D3" s="22" t="s">
        <v>250</v>
      </c>
      <c r="E3" s="23">
        <f>MAX(E4:E15)</f>
        <v>0</v>
      </c>
    </row>
    <row r="4" spans="1:6" ht="25.5" x14ac:dyDescent="0.25">
      <c r="A4" s="3" t="s">
        <v>0</v>
      </c>
      <c r="B4" s="4" t="s">
        <v>1</v>
      </c>
      <c r="C4" s="19"/>
      <c r="D4" s="20"/>
      <c r="E4" s="24">
        <f>+C4*D4</f>
        <v>0</v>
      </c>
    </row>
    <row r="5" spans="1:6" x14ac:dyDescent="0.25">
      <c r="A5" s="3" t="s">
        <v>2</v>
      </c>
      <c r="B5" s="4" t="s">
        <v>3</v>
      </c>
      <c r="C5" s="19"/>
      <c r="D5" s="20"/>
      <c r="E5" s="24">
        <f t="shared" ref="E5:E15" si="0">+C5*D5</f>
        <v>0</v>
      </c>
    </row>
    <row r="6" spans="1:6" x14ac:dyDescent="0.25">
      <c r="A6" s="3" t="s">
        <v>4</v>
      </c>
      <c r="B6" s="4" t="s">
        <v>5</v>
      </c>
      <c r="C6" s="19"/>
      <c r="D6" s="20"/>
      <c r="E6" s="24">
        <f t="shared" si="0"/>
        <v>0</v>
      </c>
    </row>
    <row r="7" spans="1:6" x14ac:dyDescent="0.25">
      <c r="A7" s="3" t="s">
        <v>6</v>
      </c>
      <c r="B7" s="4" t="s">
        <v>7</v>
      </c>
      <c r="C7" s="19"/>
      <c r="D7" s="20"/>
      <c r="E7" s="24">
        <f t="shared" si="0"/>
        <v>0</v>
      </c>
    </row>
    <row r="8" spans="1:6" x14ac:dyDescent="0.25">
      <c r="A8" s="3" t="s">
        <v>8</v>
      </c>
      <c r="B8" s="4" t="s">
        <v>9</v>
      </c>
      <c r="C8" s="19"/>
      <c r="D8" s="20"/>
      <c r="E8" s="24">
        <f t="shared" si="0"/>
        <v>0</v>
      </c>
    </row>
    <row r="9" spans="1:6" ht="25.5" x14ac:dyDescent="0.25">
      <c r="A9" s="3" t="s">
        <v>10</v>
      </c>
      <c r="B9" s="4" t="s">
        <v>11</v>
      </c>
      <c r="C9" s="19"/>
      <c r="D9" s="20"/>
      <c r="E9" s="24">
        <f t="shared" si="0"/>
        <v>0</v>
      </c>
    </row>
    <row r="10" spans="1:6" x14ac:dyDescent="0.25">
      <c r="A10" s="3" t="s">
        <v>12</v>
      </c>
      <c r="B10" s="4" t="s">
        <v>13</v>
      </c>
      <c r="C10" s="19"/>
      <c r="D10" s="20"/>
      <c r="E10" s="24">
        <f t="shared" si="0"/>
        <v>0</v>
      </c>
    </row>
    <row r="11" spans="1:6" x14ac:dyDescent="0.25">
      <c r="A11" s="3" t="s">
        <v>14</v>
      </c>
      <c r="B11" s="4" t="s">
        <v>15</v>
      </c>
      <c r="C11" s="19"/>
      <c r="D11" s="20"/>
      <c r="E11" s="24">
        <f t="shared" si="0"/>
        <v>0</v>
      </c>
    </row>
    <row r="12" spans="1:6" x14ac:dyDescent="0.25">
      <c r="A12" s="3" t="s">
        <v>16</v>
      </c>
      <c r="B12" s="4" t="s">
        <v>17</v>
      </c>
      <c r="C12" s="19"/>
      <c r="D12" s="20"/>
      <c r="E12" s="24">
        <f t="shared" si="0"/>
        <v>0</v>
      </c>
    </row>
    <row r="13" spans="1:6" x14ac:dyDescent="0.25">
      <c r="A13" s="3" t="s">
        <v>18</v>
      </c>
      <c r="B13" s="4" t="s">
        <v>19</v>
      </c>
      <c r="C13" s="19"/>
      <c r="D13" s="20"/>
      <c r="E13" s="24">
        <f t="shared" si="0"/>
        <v>0</v>
      </c>
    </row>
    <row r="14" spans="1:6" x14ac:dyDescent="0.25">
      <c r="A14" s="3" t="s">
        <v>20</v>
      </c>
      <c r="B14" s="4" t="s">
        <v>21</v>
      </c>
      <c r="C14" s="19"/>
      <c r="D14" s="20"/>
      <c r="E14" s="24">
        <f t="shared" si="0"/>
        <v>0</v>
      </c>
    </row>
    <row r="15" spans="1:6" x14ac:dyDescent="0.25">
      <c r="A15" s="3" t="s">
        <v>22</v>
      </c>
      <c r="B15" s="4" t="s">
        <v>23</v>
      </c>
      <c r="C15" s="19"/>
      <c r="D15" s="20"/>
      <c r="E15" s="24">
        <f t="shared" si="0"/>
        <v>0</v>
      </c>
    </row>
    <row r="16" spans="1:6" ht="15.75" x14ac:dyDescent="0.25">
      <c r="A16" s="14" t="s">
        <v>54</v>
      </c>
      <c r="B16" s="25" t="s">
        <v>53</v>
      </c>
      <c r="C16" s="26"/>
      <c r="D16" s="22" t="s">
        <v>250</v>
      </c>
      <c r="E16" s="27">
        <f>MAX(E17:E28)</f>
        <v>0</v>
      </c>
    </row>
    <row r="17" spans="1:5" x14ac:dyDescent="0.25">
      <c r="A17" s="3" t="s">
        <v>29</v>
      </c>
      <c r="B17" s="4" t="s">
        <v>30</v>
      </c>
      <c r="C17" s="18"/>
      <c r="D17" s="5"/>
      <c r="E17" s="24">
        <f t="shared" ref="E17:E82" si="1">+C17*D17</f>
        <v>0</v>
      </c>
    </row>
    <row r="18" spans="1:5" x14ac:dyDescent="0.25">
      <c r="A18" s="3" t="s">
        <v>31</v>
      </c>
      <c r="B18" s="4" t="s">
        <v>32</v>
      </c>
      <c r="C18" s="18"/>
      <c r="D18" s="5"/>
      <c r="E18" s="24">
        <f t="shared" si="1"/>
        <v>0</v>
      </c>
    </row>
    <row r="19" spans="1:5" x14ac:dyDescent="0.25">
      <c r="A19" s="3" t="s">
        <v>33</v>
      </c>
      <c r="B19" s="4" t="s">
        <v>34</v>
      </c>
      <c r="C19" s="18"/>
      <c r="D19" s="5"/>
      <c r="E19" s="24">
        <f t="shared" si="1"/>
        <v>0</v>
      </c>
    </row>
    <row r="20" spans="1:5" x14ac:dyDescent="0.25">
      <c r="A20" s="3" t="s">
        <v>35</v>
      </c>
      <c r="B20" s="4" t="s">
        <v>36</v>
      </c>
      <c r="C20" s="18"/>
      <c r="D20" s="5"/>
      <c r="E20" s="24">
        <f t="shared" si="1"/>
        <v>0</v>
      </c>
    </row>
    <row r="21" spans="1:5" x14ac:dyDescent="0.25">
      <c r="A21" s="3" t="s">
        <v>37</v>
      </c>
      <c r="B21" s="4" t="s">
        <v>38</v>
      </c>
      <c r="C21" s="18"/>
      <c r="D21" s="5"/>
      <c r="E21" s="24">
        <f t="shared" si="1"/>
        <v>0</v>
      </c>
    </row>
    <row r="22" spans="1:5" x14ac:dyDescent="0.25">
      <c r="A22" s="3" t="s">
        <v>39</v>
      </c>
      <c r="B22" s="4" t="s">
        <v>40</v>
      </c>
      <c r="C22" s="18"/>
      <c r="D22" s="5"/>
      <c r="E22" s="24">
        <f t="shared" si="1"/>
        <v>0</v>
      </c>
    </row>
    <row r="23" spans="1:5" x14ac:dyDescent="0.25">
      <c r="A23" s="3" t="s">
        <v>41</v>
      </c>
      <c r="B23" s="4" t="s">
        <v>42</v>
      </c>
      <c r="C23" s="18"/>
      <c r="D23" s="5"/>
      <c r="E23" s="24">
        <f t="shared" si="1"/>
        <v>0</v>
      </c>
    </row>
    <row r="24" spans="1:5" x14ac:dyDescent="0.25">
      <c r="A24" s="3" t="s">
        <v>43</v>
      </c>
      <c r="B24" s="4" t="s">
        <v>44</v>
      </c>
      <c r="C24" s="18"/>
      <c r="D24" s="5"/>
      <c r="E24" s="24">
        <f t="shared" si="1"/>
        <v>0</v>
      </c>
    </row>
    <row r="25" spans="1:5" ht="25.5" x14ac:dyDescent="0.25">
      <c r="A25" s="3" t="s">
        <v>45</v>
      </c>
      <c r="B25" s="4" t="s">
        <v>46</v>
      </c>
      <c r="C25" s="18"/>
      <c r="D25" s="5"/>
      <c r="E25" s="24">
        <f t="shared" si="1"/>
        <v>0</v>
      </c>
    </row>
    <row r="26" spans="1:5" x14ac:dyDescent="0.25">
      <c r="A26" s="3" t="s">
        <v>47</v>
      </c>
      <c r="B26" s="4" t="s">
        <v>48</v>
      </c>
      <c r="C26" s="18"/>
      <c r="D26" s="5"/>
      <c r="E26" s="24">
        <f t="shared" si="1"/>
        <v>0</v>
      </c>
    </row>
    <row r="27" spans="1:5" x14ac:dyDescent="0.25">
      <c r="A27" s="3" t="s">
        <v>49</v>
      </c>
      <c r="B27" s="4" t="s">
        <v>50</v>
      </c>
      <c r="C27" s="18"/>
      <c r="D27" s="5"/>
      <c r="E27" s="24">
        <f t="shared" si="1"/>
        <v>0</v>
      </c>
    </row>
    <row r="28" spans="1:5" ht="25.5" x14ac:dyDescent="0.25">
      <c r="A28" s="3" t="s">
        <v>51</v>
      </c>
      <c r="B28" s="4" t="s">
        <v>52</v>
      </c>
      <c r="C28" s="18"/>
      <c r="D28" s="5"/>
      <c r="E28" s="24">
        <f t="shared" si="1"/>
        <v>0</v>
      </c>
    </row>
    <row r="29" spans="1:5" x14ac:dyDescent="0.25">
      <c r="A29" s="15" t="s">
        <v>56</v>
      </c>
      <c r="B29" s="25" t="s">
        <v>55</v>
      </c>
      <c r="C29" s="26"/>
      <c r="D29" s="22" t="s">
        <v>250</v>
      </c>
      <c r="E29" s="27">
        <f>MAX(E30:E36)</f>
        <v>0</v>
      </c>
    </row>
    <row r="30" spans="1:5" x14ac:dyDescent="0.25">
      <c r="A30" s="3" t="s">
        <v>57</v>
      </c>
      <c r="B30" s="4" t="s">
        <v>58</v>
      </c>
      <c r="C30" s="18"/>
      <c r="D30" s="5"/>
      <c r="E30" s="24">
        <f t="shared" si="1"/>
        <v>0</v>
      </c>
    </row>
    <row r="31" spans="1:5" x14ac:dyDescent="0.25">
      <c r="A31" s="3" t="s">
        <v>59</v>
      </c>
      <c r="B31" s="4" t="s">
        <v>60</v>
      </c>
      <c r="C31" s="18"/>
      <c r="D31" s="5"/>
      <c r="E31" s="24">
        <f t="shared" si="1"/>
        <v>0</v>
      </c>
    </row>
    <row r="32" spans="1:5" x14ac:dyDescent="0.25">
      <c r="A32" s="3" t="s">
        <v>61</v>
      </c>
      <c r="B32" s="4" t="s">
        <v>62</v>
      </c>
      <c r="C32" s="18"/>
      <c r="D32" s="5"/>
      <c r="E32" s="24">
        <f t="shared" si="1"/>
        <v>0</v>
      </c>
    </row>
    <row r="33" spans="1:5" x14ac:dyDescent="0.25">
      <c r="A33" s="3" t="s">
        <v>63</v>
      </c>
      <c r="B33" s="4" t="s">
        <v>64</v>
      </c>
      <c r="C33" s="18"/>
      <c r="D33" s="5"/>
      <c r="E33" s="24">
        <f t="shared" si="1"/>
        <v>0</v>
      </c>
    </row>
    <row r="34" spans="1:5" ht="25.5" x14ac:dyDescent="0.25">
      <c r="A34" s="3" t="s">
        <v>65</v>
      </c>
      <c r="B34" s="4" t="s">
        <v>66</v>
      </c>
      <c r="C34" s="18"/>
      <c r="D34" s="5"/>
      <c r="E34" s="24">
        <f t="shared" si="1"/>
        <v>0</v>
      </c>
    </row>
    <row r="35" spans="1:5" x14ac:dyDescent="0.25">
      <c r="A35" s="3" t="s">
        <v>67</v>
      </c>
      <c r="B35" s="4" t="s">
        <v>68</v>
      </c>
      <c r="C35" s="18"/>
      <c r="D35" s="5"/>
      <c r="E35" s="24">
        <f t="shared" si="1"/>
        <v>0</v>
      </c>
    </row>
    <row r="36" spans="1:5" x14ac:dyDescent="0.25">
      <c r="A36" s="3" t="s">
        <v>69</v>
      </c>
      <c r="B36" s="4" t="s">
        <v>70</v>
      </c>
      <c r="C36" s="18"/>
      <c r="D36" s="5"/>
      <c r="E36" s="24">
        <f t="shared" si="1"/>
        <v>0</v>
      </c>
    </row>
    <row r="37" spans="1:5" x14ac:dyDescent="0.25">
      <c r="A37" s="15" t="s">
        <v>72</v>
      </c>
      <c r="B37" s="21" t="s">
        <v>71</v>
      </c>
      <c r="C37" s="22"/>
      <c r="D37" s="22" t="s">
        <v>250</v>
      </c>
      <c r="E37" s="27">
        <f>MAX(E38:E41)</f>
        <v>0</v>
      </c>
    </row>
    <row r="38" spans="1:5" x14ac:dyDescent="0.25">
      <c r="A38" s="3" t="s">
        <v>73</v>
      </c>
      <c r="B38" s="4" t="s">
        <v>74</v>
      </c>
      <c r="C38" s="18"/>
      <c r="D38" s="5"/>
      <c r="E38" s="24">
        <f t="shared" si="1"/>
        <v>0</v>
      </c>
    </row>
    <row r="39" spans="1:5" x14ac:dyDescent="0.25">
      <c r="A39" s="3" t="s">
        <v>75</v>
      </c>
      <c r="B39" s="4" t="s">
        <v>76</v>
      </c>
      <c r="C39" s="18"/>
      <c r="D39" s="5"/>
      <c r="E39" s="24">
        <f t="shared" si="1"/>
        <v>0</v>
      </c>
    </row>
    <row r="40" spans="1:5" x14ac:dyDescent="0.25">
      <c r="A40" s="3" t="s">
        <v>77</v>
      </c>
      <c r="B40" s="4" t="s">
        <v>78</v>
      </c>
      <c r="C40" s="18"/>
      <c r="D40" s="5"/>
      <c r="E40" s="24">
        <f t="shared" si="1"/>
        <v>0</v>
      </c>
    </row>
    <row r="41" spans="1:5" s="12" customFormat="1" ht="26.25" x14ac:dyDescent="0.25">
      <c r="A41" s="16" t="s">
        <v>79</v>
      </c>
      <c r="B41" s="10" t="s">
        <v>80</v>
      </c>
      <c r="C41" s="28"/>
      <c r="D41" s="11"/>
      <c r="E41" s="24">
        <f t="shared" si="1"/>
        <v>0</v>
      </c>
    </row>
    <row r="42" spans="1:5" s="12" customFormat="1" x14ac:dyDescent="0.25">
      <c r="A42" s="15" t="s">
        <v>81</v>
      </c>
      <c r="B42" s="21" t="s">
        <v>82</v>
      </c>
      <c r="C42" s="22"/>
      <c r="D42" s="22" t="s">
        <v>250</v>
      </c>
      <c r="E42" s="27">
        <f>MAX(E43:E53)</f>
        <v>0</v>
      </c>
    </row>
    <row r="43" spans="1:5" s="12" customFormat="1" x14ac:dyDescent="0.25">
      <c r="A43" s="3" t="s">
        <v>83</v>
      </c>
      <c r="B43" s="4" t="s">
        <v>84</v>
      </c>
      <c r="C43" s="28"/>
      <c r="D43" s="11"/>
      <c r="E43" s="24">
        <f t="shared" si="1"/>
        <v>0</v>
      </c>
    </row>
    <row r="44" spans="1:5" s="12" customFormat="1" x14ac:dyDescent="0.25">
      <c r="A44" s="3" t="s">
        <v>85</v>
      </c>
      <c r="B44" s="4" t="s">
        <v>86</v>
      </c>
      <c r="C44" s="28"/>
      <c r="D44" s="11"/>
      <c r="E44" s="24">
        <f t="shared" si="1"/>
        <v>0</v>
      </c>
    </row>
    <row r="45" spans="1:5" s="12" customFormat="1" ht="25.5" x14ac:dyDescent="0.25">
      <c r="A45" s="3" t="s">
        <v>87</v>
      </c>
      <c r="B45" s="4" t="s">
        <v>88</v>
      </c>
      <c r="C45" s="28"/>
      <c r="D45" s="11"/>
      <c r="E45" s="24">
        <f t="shared" si="1"/>
        <v>0</v>
      </c>
    </row>
    <row r="46" spans="1:5" s="12" customFormat="1" ht="25.5" x14ac:dyDescent="0.25">
      <c r="A46" s="3" t="s">
        <v>89</v>
      </c>
      <c r="B46" s="4" t="s">
        <v>90</v>
      </c>
      <c r="C46" s="28"/>
      <c r="D46" s="11"/>
      <c r="E46" s="24">
        <f t="shared" si="1"/>
        <v>0</v>
      </c>
    </row>
    <row r="47" spans="1:5" s="12" customFormat="1" x14ac:dyDescent="0.25">
      <c r="A47" s="3" t="s">
        <v>91</v>
      </c>
      <c r="B47" s="4" t="s">
        <v>92</v>
      </c>
      <c r="C47" s="28"/>
      <c r="D47" s="11"/>
      <c r="E47" s="24">
        <f t="shared" si="1"/>
        <v>0</v>
      </c>
    </row>
    <row r="48" spans="1:5" s="12" customFormat="1" x14ac:dyDescent="0.25">
      <c r="A48" s="3" t="s">
        <v>93</v>
      </c>
      <c r="B48" s="4" t="s">
        <v>94</v>
      </c>
      <c r="C48" s="28"/>
      <c r="D48" s="11"/>
      <c r="E48" s="24">
        <f t="shared" si="1"/>
        <v>0</v>
      </c>
    </row>
    <row r="49" spans="1:5" s="12" customFormat="1" ht="25.5" x14ac:dyDescent="0.25">
      <c r="A49" s="3" t="s">
        <v>95</v>
      </c>
      <c r="B49" s="4" t="s">
        <v>96</v>
      </c>
      <c r="C49" s="28"/>
      <c r="D49" s="11"/>
      <c r="E49" s="24">
        <f t="shared" si="1"/>
        <v>0</v>
      </c>
    </row>
    <row r="50" spans="1:5" s="12" customFormat="1" ht="25.5" x14ac:dyDescent="0.25">
      <c r="A50" s="3" t="s">
        <v>97</v>
      </c>
      <c r="B50" s="4" t="s">
        <v>98</v>
      </c>
      <c r="C50" s="28"/>
      <c r="D50" s="11"/>
      <c r="E50" s="24">
        <f t="shared" si="1"/>
        <v>0</v>
      </c>
    </row>
    <row r="51" spans="1:5" s="12" customFormat="1" ht="25.5" x14ac:dyDescent="0.25">
      <c r="A51" s="3" t="s">
        <v>99</v>
      </c>
      <c r="B51" s="4" t="s">
        <v>100</v>
      </c>
      <c r="C51" s="28"/>
      <c r="D51" s="11"/>
      <c r="E51" s="24">
        <f t="shared" si="1"/>
        <v>0</v>
      </c>
    </row>
    <row r="52" spans="1:5" s="12" customFormat="1" x14ac:dyDescent="0.25">
      <c r="A52" s="3" t="s">
        <v>101</v>
      </c>
      <c r="B52" s="4" t="s">
        <v>102</v>
      </c>
      <c r="C52" s="28"/>
      <c r="D52" s="11"/>
      <c r="E52" s="24">
        <f t="shared" si="1"/>
        <v>0</v>
      </c>
    </row>
    <row r="53" spans="1:5" s="12" customFormat="1" x14ac:dyDescent="0.25">
      <c r="A53" s="17" t="s">
        <v>103</v>
      </c>
      <c r="B53" s="9" t="s">
        <v>104</v>
      </c>
      <c r="C53" s="28"/>
      <c r="D53" s="11"/>
      <c r="E53" s="24">
        <f t="shared" si="1"/>
        <v>0</v>
      </c>
    </row>
    <row r="54" spans="1:5" s="12" customFormat="1" x14ac:dyDescent="0.25">
      <c r="A54" s="15" t="s">
        <v>105</v>
      </c>
      <c r="B54" s="21" t="s">
        <v>106</v>
      </c>
      <c r="C54" s="22"/>
      <c r="D54" s="22" t="s">
        <v>250</v>
      </c>
      <c r="E54" s="27">
        <f>MAX(E55:E57)</f>
        <v>0</v>
      </c>
    </row>
    <row r="55" spans="1:5" s="12" customFormat="1" x14ac:dyDescent="0.25">
      <c r="A55" s="3" t="s">
        <v>107</v>
      </c>
      <c r="B55" s="4" t="s">
        <v>108</v>
      </c>
      <c r="C55" s="28"/>
      <c r="D55" s="11"/>
      <c r="E55" s="24">
        <f t="shared" si="1"/>
        <v>0</v>
      </c>
    </row>
    <row r="56" spans="1:5" s="12" customFormat="1" x14ac:dyDescent="0.25">
      <c r="A56" s="3" t="s">
        <v>109</v>
      </c>
      <c r="B56" s="4" t="s">
        <v>110</v>
      </c>
      <c r="C56" s="28"/>
      <c r="D56" s="11"/>
      <c r="E56" s="24">
        <f t="shared" si="1"/>
        <v>0</v>
      </c>
    </row>
    <row r="57" spans="1:5" s="12" customFormat="1" x14ac:dyDescent="0.25">
      <c r="A57" s="3" t="s">
        <v>111</v>
      </c>
      <c r="B57" s="4" t="s">
        <v>112</v>
      </c>
      <c r="C57" s="28"/>
      <c r="D57" s="11"/>
      <c r="E57" s="24">
        <f t="shared" si="1"/>
        <v>0</v>
      </c>
    </row>
    <row r="58" spans="1:5" s="12" customFormat="1" x14ac:dyDescent="0.25">
      <c r="A58" s="15" t="s">
        <v>113</v>
      </c>
      <c r="B58" s="21" t="s">
        <v>114</v>
      </c>
      <c r="C58" s="22"/>
      <c r="D58" s="22" t="s">
        <v>250</v>
      </c>
      <c r="E58" s="27">
        <f>MAX(E59:E62)</f>
        <v>0</v>
      </c>
    </row>
    <row r="59" spans="1:5" s="12" customFormat="1" x14ac:dyDescent="0.25">
      <c r="A59" s="3" t="s">
        <v>115</v>
      </c>
      <c r="B59" s="4" t="s">
        <v>116</v>
      </c>
      <c r="C59" s="28"/>
      <c r="D59" s="11"/>
      <c r="E59" s="24">
        <f t="shared" si="1"/>
        <v>0</v>
      </c>
    </row>
    <row r="60" spans="1:5" s="12" customFormat="1" x14ac:dyDescent="0.25">
      <c r="A60" s="3" t="s">
        <v>117</v>
      </c>
      <c r="B60" s="4" t="s">
        <v>118</v>
      </c>
      <c r="C60" s="28"/>
      <c r="D60" s="11"/>
      <c r="E60" s="24">
        <f t="shared" si="1"/>
        <v>0</v>
      </c>
    </row>
    <row r="61" spans="1:5" s="12" customFormat="1" x14ac:dyDescent="0.25">
      <c r="A61" s="3" t="s">
        <v>119</v>
      </c>
      <c r="B61" s="4" t="s">
        <v>120</v>
      </c>
      <c r="C61" s="28"/>
      <c r="D61" s="11"/>
      <c r="E61" s="24">
        <f t="shared" si="1"/>
        <v>0</v>
      </c>
    </row>
    <row r="62" spans="1:5" s="12" customFormat="1" x14ac:dyDescent="0.25">
      <c r="A62" s="13" t="s">
        <v>121</v>
      </c>
      <c r="B62" s="10" t="s">
        <v>122</v>
      </c>
      <c r="C62" s="28"/>
      <c r="D62" s="11"/>
      <c r="E62" s="24">
        <f t="shared" si="1"/>
        <v>0</v>
      </c>
    </row>
    <row r="63" spans="1:5" x14ac:dyDescent="0.25">
      <c r="A63" s="15" t="s">
        <v>123</v>
      </c>
      <c r="B63" s="21" t="s">
        <v>124</v>
      </c>
      <c r="C63" s="22"/>
      <c r="D63" s="22" t="s">
        <v>250</v>
      </c>
      <c r="E63" s="27">
        <f>MAX(E64:E77)</f>
        <v>0</v>
      </c>
    </row>
    <row r="64" spans="1:5" x14ac:dyDescent="0.25">
      <c r="A64" s="3" t="s">
        <v>125</v>
      </c>
      <c r="B64" s="4" t="s">
        <v>126</v>
      </c>
      <c r="C64" s="18"/>
      <c r="D64" s="5"/>
      <c r="E64" s="24">
        <f t="shared" si="1"/>
        <v>0</v>
      </c>
    </row>
    <row r="65" spans="1:5" x14ac:dyDescent="0.25">
      <c r="A65" s="3" t="s">
        <v>127</v>
      </c>
      <c r="B65" s="4" t="s">
        <v>128</v>
      </c>
      <c r="C65" s="18"/>
      <c r="D65" s="5"/>
      <c r="E65" s="24">
        <f t="shared" si="1"/>
        <v>0</v>
      </c>
    </row>
    <row r="66" spans="1:5" x14ac:dyDescent="0.25">
      <c r="A66" s="3" t="s">
        <v>129</v>
      </c>
      <c r="B66" s="4" t="s">
        <v>130</v>
      </c>
      <c r="C66" s="18"/>
      <c r="D66" s="5"/>
      <c r="E66" s="24">
        <f t="shared" si="1"/>
        <v>0</v>
      </c>
    </row>
    <row r="67" spans="1:5" x14ac:dyDescent="0.25">
      <c r="A67" s="3" t="s">
        <v>131</v>
      </c>
      <c r="B67" s="4" t="s">
        <v>132</v>
      </c>
      <c r="C67" s="18"/>
      <c r="D67" s="5"/>
      <c r="E67" s="24">
        <f t="shared" si="1"/>
        <v>0</v>
      </c>
    </row>
    <row r="68" spans="1:5" x14ac:dyDescent="0.25">
      <c r="A68" s="3" t="s">
        <v>133</v>
      </c>
      <c r="B68" s="4" t="s">
        <v>134</v>
      </c>
      <c r="C68" s="18"/>
      <c r="D68" s="5"/>
      <c r="E68" s="24">
        <f t="shared" si="1"/>
        <v>0</v>
      </c>
    </row>
    <row r="69" spans="1:5" x14ac:dyDescent="0.25">
      <c r="A69" s="3" t="s">
        <v>135</v>
      </c>
      <c r="B69" s="4" t="s">
        <v>136</v>
      </c>
      <c r="C69" s="18"/>
      <c r="D69" s="5"/>
      <c r="E69" s="24">
        <f t="shared" si="1"/>
        <v>0</v>
      </c>
    </row>
    <row r="70" spans="1:5" ht="25.5" x14ac:dyDescent="0.25">
      <c r="A70" s="3" t="s">
        <v>137</v>
      </c>
      <c r="B70" s="4" t="s">
        <v>138</v>
      </c>
      <c r="C70" s="18"/>
      <c r="D70" s="5"/>
      <c r="E70" s="24">
        <f t="shared" si="1"/>
        <v>0</v>
      </c>
    </row>
    <row r="71" spans="1:5" ht="25.5" customHeight="1" x14ac:dyDescent="0.25">
      <c r="A71" s="3" t="s">
        <v>139</v>
      </c>
      <c r="B71" s="4" t="s">
        <v>140</v>
      </c>
      <c r="C71" s="18"/>
      <c r="D71" s="5"/>
      <c r="E71" s="24">
        <f t="shared" si="1"/>
        <v>0</v>
      </c>
    </row>
    <row r="72" spans="1:5" ht="25.5" x14ac:dyDescent="0.25">
      <c r="A72" s="3" t="s">
        <v>141</v>
      </c>
      <c r="B72" s="4" t="s">
        <v>142</v>
      </c>
      <c r="C72" s="18"/>
      <c r="D72" s="5"/>
      <c r="E72" s="24">
        <f t="shared" si="1"/>
        <v>0</v>
      </c>
    </row>
    <row r="73" spans="1:5" x14ac:dyDescent="0.25">
      <c r="A73" s="3" t="s">
        <v>143</v>
      </c>
      <c r="B73" s="4" t="s">
        <v>144</v>
      </c>
      <c r="C73" s="18"/>
      <c r="D73" s="5"/>
      <c r="E73" s="24">
        <f t="shared" si="1"/>
        <v>0</v>
      </c>
    </row>
    <row r="74" spans="1:5" x14ac:dyDescent="0.25">
      <c r="A74" s="3" t="s">
        <v>145</v>
      </c>
      <c r="B74" s="4" t="s">
        <v>146</v>
      </c>
      <c r="C74" s="18"/>
      <c r="D74" s="5"/>
      <c r="E74" s="24">
        <f t="shared" si="1"/>
        <v>0</v>
      </c>
    </row>
    <row r="75" spans="1:5" x14ac:dyDescent="0.25">
      <c r="A75" s="3" t="s">
        <v>147</v>
      </c>
      <c r="B75" s="4" t="s">
        <v>148</v>
      </c>
      <c r="C75" s="18"/>
      <c r="D75" s="5"/>
      <c r="E75" s="24">
        <f t="shared" si="1"/>
        <v>0</v>
      </c>
    </row>
    <row r="76" spans="1:5" x14ac:dyDescent="0.25">
      <c r="A76" s="3" t="s">
        <v>149</v>
      </c>
      <c r="B76" s="4" t="s">
        <v>150</v>
      </c>
      <c r="C76" s="18"/>
      <c r="D76" s="5"/>
      <c r="E76" s="24">
        <f t="shared" si="1"/>
        <v>0</v>
      </c>
    </row>
    <row r="77" spans="1:5" x14ac:dyDescent="0.25">
      <c r="A77" s="17" t="s">
        <v>151</v>
      </c>
      <c r="B77" s="9" t="s">
        <v>152</v>
      </c>
      <c r="C77" s="18"/>
      <c r="D77" s="5"/>
      <c r="E77" s="24">
        <f t="shared" si="1"/>
        <v>0</v>
      </c>
    </row>
    <row r="78" spans="1:5" x14ac:dyDescent="0.25">
      <c r="A78" s="15" t="s">
        <v>153</v>
      </c>
      <c r="B78" s="21" t="s">
        <v>154</v>
      </c>
      <c r="C78" s="22"/>
      <c r="D78" s="22" t="s">
        <v>250</v>
      </c>
      <c r="E78" s="27">
        <f>MAX(E79:E80)</f>
        <v>0</v>
      </c>
    </row>
    <row r="79" spans="1:5" x14ac:dyDescent="0.25">
      <c r="A79" s="3" t="s">
        <v>155</v>
      </c>
      <c r="B79" s="4" t="s">
        <v>156</v>
      </c>
      <c r="C79" s="18"/>
      <c r="D79" s="5"/>
      <c r="E79" s="24">
        <f t="shared" si="1"/>
        <v>0</v>
      </c>
    </row>
    <row r="80" spans="1:5" x14ac:dyDescent="0.25">
      <c r="A80" s="3" t="s">
        <v>157</v>
      </c>
      <c r="B80" s="4" t="s">
        <v>158</v>
      </c>
      <c r="C80" s="18"/>
      <c r="D80" s="5"/>
      <c r="E80" s="24">
        <f t="shared" si="1"/>
        <v>0</v>
      </c>
    </row>
    <row r="81" spans="1:5" x14ac:dyDescent="0.25">
      <c r="A81" s="15" t="s">
        <v>159</v>
      </c>
      <c r="B81" s="21" t="s">
        <v>160</v>
      </c>
      <c r="C81" s="22"/>
      <c r="D81" s="22" t="s">
        <v>250</v>
      </c>
      <c r="E81" s="27">
        <f>MAX(E82:E105)</f>
        <v>0</v>
      </c>
    </row>
    <row r="82" spans="1:5" x14ac:dyDescent="0.25">
      <c r="A82" s="3" t="s">
        <v>161</v>
      </c>
      <c r="B82" s="4" t="s">
        <v>162</v>
      </c>
      <c r="C82" s="18"/>
      <c r="D82" s="5"/>
      <c r="E82" s="24">
        <f t="shared" si="1"/>
        <v>0</v>
      </c>
    </row>
    <row r="83" spans="1:5" x14ac:dyDescent="0.25">
      <c r="A83" s="3" t="s">
        <v>163</v>
      </c>
      <c r="B83" s="4" t="s">
        <v>164</v>
      </c>
      <c r="C83" s="18"/>
      <c r="D83" s="5"/>
      <c r="E83" s="24">
        <f t="shared" ref="E83:E105" si="2">+C83*D83</f>
        <v>0</v>
      </c>
    </row>
    <row r="84" spans="1:5" x14ac:dyDescent="0.25">
      <c r="A84" s="3" t="s">
        <v>165</v>
      </c>
      <c r="B84" s="4" t="s">
        <v>166</v>
      </c>
      <c r="C84" s="18"/>
      <c r="D84" s="5"/>
      <c r="E84" s="24">
        <f t="shared" si="2"/>
        <v>0</v>
      </c>
    </row>
    <row r="85" spans="1:5" x14ac:dyDescent="0.25">
      <c r="A85" s="3" t="s">
        <v>167</v>
      </c>
      <c r="B85" s="4" t="s">
        <v>168</v>
      </c>
      <c r="C85" s="18"/>
      <c r="D85" s="5"/>
      <c r="E85" s="24">
        <f t="shared" si="2"/>
        <v>0</v>
      </c>
    </row>
    <row r="86" spans="1:5" x14ac:dyDescent="0.25">
      <c r="A86" s="3" t="s">
        <v>169</v>
      </c>
      <c r="B86" s="4" t="s">
        <v>170</v>
      </c>
      <c r="C86" s="18"/>
      <c r="D86" s="5"/>
      <c r="E86" s="24">
        <f t="shared" si="2"/>
        <v>0</v>
      </c>
    </row>
    <row r="87" spans="1:5" x14ac:dyDescent="0.25">
      <c r="A87" s="3" t="s">
        <v>171</v>
      </c>
      <c r="B87" s="4" t="s">
        <v>172</v>
      </c>
      <c r="C87" s="18"/>
      <c r="D87" s="5"/>
      <c r="E87" s="24">
        <f t="shared" si="2"/>
        <v>0</v>
      </c>
    </row>
    <row r="88" spans="1:5" x14ac:dyDescent="0.25">
      <c r="A88" s="3" t="s">
        <v>173</v>
      </c>
      <c r="B88" s="4" t="s">
        <v>174</v>
      </c>
      <c r="C88" s="18"/>
      <c r="D88" s="5"/>
      <c r="E88" s="24">
        <f t="shared" si="2"/>
        <v>0</v>
      </c>
    </row>
    <row r="89" spans="1:5" x14ac:dyDescent="0.25">
      <c r="A89" s="3" t="s">
        <v>175</v>
      </c>
      <c r="B89" s="4" t="s">
        <v>176</v>
      </c>
      <c r="C89" s="18"/>
      <c r="D89" s="5"/>
      <c r="E89" s="24">
        <f t="shared" si="2"/>
        <v>0</v>
      </c>
    </row>
    <row r="90" spans="1:5" x14ac:dyDescent="0.25">
      <c r="A90" s="3" t="s">
        <v>177</v>
      </c>
      <c r="B90" s="4" t="s">
        <v>178</v>
      </c>
      <c r="C90" s="18"/>
      <c r="D90" s="5"/>
      <c r="E90" s="24">
        <f t="shared" si="2"/>
        <v>0</v>
      </c>
    </row>
    <row r="91" spans="1:5" x14ac:dyDescent="0.25">
      <c r="A91" s="3" t="s">
        <v>179</v>
      </c>
      <c r="B91" s="4" t="s">
        <v>180</v>
      </c>
      <c r="C91" s="18"/>
      <c r="D91" s="5"/>
      <c r="E91" s="24">
        <f t="shared" si="2"/>
        <v>0</v>
      </c>
    </row>
    <row r="92" spans="1:5" x14ac:dyDescent="0.25">
      <c r="A92" s="3" t="s">
        <v>181</v>
      </c>
      <c r="B92" s="4" t="s">
        <v>182</v>
      </c>
      <c r="C92" s="18"/>
      <c r="D92" s="5"/>
      <c r="E92" s="24">
        <f t="shared" si="2"/>
        <v>0</v>
      </c>
    </row>
    <row r="93" spans="1:5" ht="25.5" x14ac:dyDescent="0.25">
      <c r="A93" s="3" t="s">
        <v>183</v>
      </c>
      <c r="B93" s="4" t="s">
        <v>184</v>
      </c>
      <c r="C93" s="18"/>
      <c r="D93" s="5"/>
      <c r="E93" s="24">
        <f t="shared" si="2"/>
        <v>0</v>
      </c>
    </row>
    <row r="94" spans="1:5" x14ac:dyDescent="0.25">
      <c r="A94" s="3" t="s">
        <v>185</v>
      </c>
      <c r="B94" s="4" t="s">
        <v>186</v>
      </c>
      <c r="C94" s="18"/>
      <c r="D94" s="5"/>
      <c r="E94" s="24">
        <f t="shared" si="2"/>
        <v>0</v>
      </c>
    </row>
    <row r="95" spans="1:5" ht="25.5" x14ac:dyDescent="0.25">
      <c r="A95" s="3" t="s">
        <v>187</v>
      </c>
      <c r="B95" s="4" t="s">
        <v>188</v>
      </c>
      <c r="C95" s="18"/>
      <c r="D95" s="5"/>
      <c r="E95" s="24">
        <f t="shared" si="2"/>
        <v>0</v>
      </c>
    </row>
    <row r="96" spans="1:5" x14ac:dyDescent="0.25">
      <c r="A96" s="3" t="s">
        <v>189</v>
      </c>
      <c r="B96" s="4" t="s">
        <v>190</v>
      </c>
      <c r="C96" s="18"/>
      <c r="D96" s="5"/>
      <c r="E96" s="24">
        <f t="shared" si="2"/>
        <v>0</v>
      </c>
    </row>
    <row r="97" spans="1:5" x14ac:dyDescent="0.25">
      <c r="A97" s="3" t="s">
        <v>191</v>
      </c>
      <c r="B97" s="4" t="s">
        <v>192</v>
      </c>
      <c r="C97" s="18"/>
      <c r="D97" s="5"/>
      <c r="E97" s="24">
        <f t="shared" si="2"/>
        <v>0</v>
      </c>
    </row>
    <row r="98" spans="1:5" x14ac:dyDescent="0.25">
      <c r="A98" s="3" t="s">
        <v>193</v>
      </c>
      <c r="B98" s="4" t="s">
        <v>194</v>
      </c>
      <c r="C98" s="18"/>
      <c r="D98" s="5"/>
      <c r="E98" s="24">
        <f t="shared" si="2"/>
        <v>0</v>
      </c>
    </row>
    <row r="99" spans="1:5" x14ac:dyDescent="0.25">
      <c r="A99" s="3" t="s">
        <v>195</v>
      </c>
      <c r="B99" s="4" t="s">
        <v>196</v>
      </c>
      <c r="C99" s="18"/>
      <c r="D99" s="5"/>
      <c r="E99" s="24">
        <f t="shared" si="2"/>
        <v>0</v>
      </c>
    </row>
    <row r="100" spans="1:5" x14ac:dyDescent="0.25">
      <c r="A100" s="3" t="s">
        <v>197</v>
      </c>
      <c r="B100" s="4" t="s">
        <v>198</v>
      </c>
      <c r="C100" s="18"/>
      <c r="D100" s="5"/>
      <c r="E100" s="24">
        <f t="shared" si="2"/>
        <v>0</v>
      </c>
    </row>
    <row r="101" spans="1:5" x14ac:dyDescent="0.25">
      <c r="A101" s="3" t="s">
        <v>199</v>
      </c>
      <c r="B101" s="4" t="s">
        <v>200</v>
      </c>
      <c r="C101" s="18"/>
      <c r="D101" s="5"/>
      <c r="E101" s="24">
        <f t="shared" si="2"/>
        <v>0</v>
      </c>
    </row>
    <row r="102" spans="1:5" x14ac:dyDescent="0.25">
      <c r="A102" s="3" t="s">
        <v>201</v>
      </c>
      <c r="B102" s="4" t="s">
        <v>202</v>
      </c>
      <c r="C102" s="18"/>
      <c r="D102" s="5"/>
      <c r="E102" s="24">
        <f t="shared" si="2"/>
        <v>0</v>
      </c>
    </row>
    <row r="103" spans="1:5" x14ac:dyDescent="0.25">
      <c r="A103" s="3" t="s">
        <v>203</v>
      </c>
      <c r="B103" s="4" t="s">
        <v>204</v>
      </c>
      <c r="C103" s="18"/>
      <c r="D103" s="5"/>
      <c r="E103" s="24">
        <f t="shared" si="2"/>
        <v>0</v>
      </c>
    </row>
    <row r="104" spans="1:5" x14ac:dyDescent="0.25">
      <c r="A104" s="3" t="s">
        <v>205</v>
      </c>
      <c r="B104" s="4" t="s">
        <v>206</v>
      </c>
      <c r="C104" s="18"/>
      <c r="D104" s="5"/>
      <c r="E104" s="24">
        <f t="shared" si="2"/>
        <v>0</v>
      </c>
    </row>
    <row r="105" spans="1:5" ht="25.5" x14ac:dyDescent="0.25">
      <c r="A105" s="3" t="s">
        <v>207</v>
      </c>
      <c r="B105" s="4" t="s">
        <v>208</v>
      </c>
      <c r="C105" s="18"/>
      <c r="D105" s="5"/>
      <c r="E105" s="24">
        <f t="shared" si="2"/>
        <v>0</v>
      </c>
    </row>
    <row r="106" spans="1:5" x14ac:dyDescent="0.25">
      <c r="A106" s="15" t="s">
        <v>209</v>
      </c>
      <c r="B106" s="21" t="s">
        <v>210</v>
      </c>
      <c r="C106" s="22"/>
      <c r="D106" s="22" t="s">
        <v>250</v>
      </c>
      <c r="E106" s="27">
        <f>MAX(E107:E115)</f>
        <v>0</v>
      </c>
    </row>
    <row r="107" spans="1:5" x14ac:dyDescent="0.25">
      <c r="A107" s="3" t="s">
        <v>211</v>
      </c>
      <c r="B107" s="4" t="s">
        <v>212</v>
      </c>
      <c r="C107" s="18"/>
      <c r="D107" s="5"/>
      <c r="E107" s="24">
        <f t="shared" ref="E107:E115" si="3">+C107*D107</f>
        <v>0</v>
      </c>
    </row>
    <row r="108" spans="1:5" x14ac:dyDescent="0.25">
      <c r="A108" s="3" t="s">
        <v>213</v>
      </c>
      <c r="B108" s="4" t="s">
        <v>214</v>
      </c>
      <c r="C108" s="18"/>
      <c r="D108" s="5"/>
      <c r="E108" s="24">
        <f t="shared" si="3"/>
        <v>0</v>
      </c>
    </row>
    <row r="109" spans="1:5" x14ac:dyDescent="0.25">
      <c r="A109" s="3" t="s">
        <v>215</v>
      </c>
      <c r="B109" s="4" t="s">
        <v>216</v>
      </c>
      <c r="C109" s="18"/>
      <c r="D109" s="5"/>
      <c r="E109" s="24">
        <f t="shared" si="3"/>
        <v>0</v>
      </c>
    </row>
    <row r="110" spans="1:5" ht="25.5" x14ac:dyDescent="0.25">
      <c r="A110" s="3" t="s">
        <v>217</v>
      </c>
      <c r="B110" s="4" t="s">
        <v>218</v>
      </c>
      <c r="C110" s="18"/>
      <c r="D110" s="5"/>
      <c r="E110" s="24">
        <f t="shared" si="3"/>
        <v>0</v>
      </c>
    </row>
    <row r="111" spans="1:5" x14ac:dyDescent="0.25">
      <c r="A111" s="3" t="s">
        <v>219</v>
      </c>
      <c r="B111" s="4" t="s">
        <v>220</v>
      </c>
      <c r="C111" s="18"/>
      <c r="D111" s="5"/>
      <c r="E111" s="24">
        <f t="shared" si="3"/>
        <v>0</v>
      </c>
    </row>
    <row r="112" spans="1:5" ht="25.5" x14ac:dyDescent="0.25">
      <c r="A112" s="3" t="s">
        <v>221</v>
      </c>
      <c r="B112" s="4" t="s">
        <v>222</v>
      </c>
      <c r="C112" s="18"/>
      <c r="D112" s="5"/>
      <c r="E112" s="24">
        <f t="shared" si="3"/>
        <v>0</v>
      </c>
    </row>
    <row r="113" spans="1:5" ht="25.5" x14ac:dyDescent="0.25">
      <c r="A113" s="3" t="s">
        <v>223</v>
      </c>
      <c r="B113" s="4" t="s">
        <v>224</v>
      </c>
      <c r="C113" s="18"/>
      <c r="D113" s="5"/>
      <c r="E113" s="24">
        <f t="shared" si="3"/>
        <v>0</v>
      </c>
    </row>
    <row r="114" spans="1:5" x14ac:dyDescent="0.25">
      <c r="A114" s="3" t="s">
        <v>225</v>
      </c>
      <c r="B114" s="4" t="s">
        <v>226</v>
      </c>
      <c r="C114" s="18"/>
      <c r="D114" s="5"/>
      <c r="E114" s="24">
        <f t="shared" si="3"/>
        <v>0</v>
      </c>
    </row>
    <row r="115" spans="1:5" s="12" customFormat="1" x14ac:dyDescent="0.25">
      <c r="A115" s="13" t="s">
        <v>227</v>
      </c>
      <c r="B115" s="10" t="s">
        <v>228</v>
      </c>
      <c r="C115" s="28"/>
      <c r="D115" s="11"/>
      <c r="E115" s="24">
        <f t="shared" si="3"/>
        <v>0</v>
      </c>
    </row>
    <row r="116" spans="1:5" x14ac:dyDescent="0.25">
      <c r="A116" s="15" t="s">
        <v>229</v>
      </c>
      <c r="B116" s="21" t="s">
        <v>230</v>
      </c>
      <c r="C116" s="22"/>
      <c r="D116" s="22" t="s">
        <v>250</v>
      </c>
      <c r="E116" s="27">
        <f>MAX(E117:E125)</f>
        <v>0</v>
      </c>
    </row>
    <row r="117" spans="1:5" x14ac:dyDescent="0.25">
      <c r="A117" s="3" t="s">
        <v>231</v>
      </c>
      <c r="B117" s="4" t="s">
        <v>232</v>
      </c>
      <c r="C117" s="18"/>
      <c r="D117" s="5"/>
      <c r="E117" s="24">
        <f t="shared" ref="E117:E125" si="4">+C117*D117</f>
        <v>0</v>
      </c>
    </row>
    <row r="118" spans="1:5" x14ac:dyDescent="0.25">
      <c r="A118" s="3" t="s">
        <v>233</v>
      </c>
      <c r="B118" s="4" t="s">
        <v>234</v>
      </c>
      <c r="C118" s="18"/>
      <c r="D118" s="5"/>
      <c r="E118" s="24">
        <f t="shared" si="4"/>
        <v>0</v>
      </c>
    </row>
    <row r="119" spans="1:5" x14ac:dyDescent="0.25">
      <c r="A119" s="3" t="s">
        <v>235</v>
      </c>
      <c r="B119" s="4" t="s">
        <v>236</v>
      </c>
      <c r="C119" s="18"/>
      <c r="D119" s="5"/>
      <c r="E119" s="24">
        <f t="shared" si="4"/>
        <v>0</v>
      </c>
    </row>
    <row r="120" spans="1:5" x14ac:dyDescent="0.25">
      <c r="A120" s="3" t="s">
        <v>237</v>
      </c>
      <c r="B120" s="4" t="s">
        <v>238</v>
      </c>
      <c r="C120" s="18"/>
      <c r="D120" s="5"/>
      <c r="E120" s="24">
        <f t="shared" si="4"/>
        <v>0</v>
      </c>
    </row>
    <row r="121" spans="1:5" ht="25.5" x14ac:dyDescent="0.25">
      <c r="A121" s="3" t="s">
        <v>239</v>
      </c>
      <c r="B121" s="4" t="s">
        <v>240</v>
      </c>
      <c r="C121" s="18"/>
      <c r="D121" s="5"/>
      <c r="E121" s="24">
        <f t="shared" si="4"/>
        <v>0</v>
      </c>
    </row>
    <row r="122" spans="1:5" x14ac:dyDescent="0.25">
      <c r="A122" s="3" t="s">
        <v>241</v>
      </c>
      <c r="B122" s="4" t="s">
        <v>242</v>
      </c>
      <c r="C122" s="18"/>
      <c r="D122" s="5"/>
      <c r="E122" s="24">
        <f t="shared" si="4"/>
        <v>0</v>
      </c>
    </row>
    <row r="123" spans="1:5" x14ac:dyDescent="0.25">
      <c r="A123" s="3" t="s">
        <v>243</v>
      </c>
      <c r="B123" s="4" t="s">
        <v>244</v>
      </c>
      <c r="C123" s="18"/>
      <c r="D123" s="5"/>
      <c r="E123" s="24">
        <f t="shared" si="4"/>
        <v>0</v>
      </c>
    </row>
    <row r="124" spans="1:5" x14ac:dyDescent="0.25">
      <c r="A124" s="3" t="s">
        <v>245</v>
      </c>
      <c r="B124" s="4" t="s">
        <v>246</v>
      </c>
      <c r="C124" s="18"/>
      <c r="D124" s="5"/>
      <c r="E124" s="24">
        <f t="shared" si="4"/>
        <v>0</v>
      </c>
    </row>
    <row r="125" spans="1:5" x14ac:dyDescent="0.25">
      <c r="A125" s="3" t="s">
        <v>247</v>
      </c>
      <c r="B125" s="4" t="s">
        <v>248</v>
      </c>
      <c r="C125" s="18"/>
      <c r="D125" s="5"/>
      <c r="E125" s="24">
        <f t="shared" si="4"/>
        <v>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zoomScale="90" zoomScaleNormal="90" workbookViewId="0">
      <pane ySplit="2" topLeftCell="A3" activePane="bottomLeft" state="frozen"/>
      <selection pane="bottomLeft" activeCell="B4" sqref="B4"/>
    </sheetView>
  </sheetViews>
  <sheetFormatPr baseColWidth="10" defaultRowHeight="15" x14ac:dyDescent="0.25"/>
  <cols>
    <col min="1" max="1" width="5" style="1" customWidth="1"/>
    <col min="2" max="2" width="118.7109375" customWidth="1"/>
    <col min="3" max="3" width="14.140625" bestFit="1" customWidth="1"/>
    <col min="6" max="6" width="15.85546875" bestFit="1" customWidth="1"/>
  </cols>
  <sheetData>
    <row r="1" spans="1:6" ht="18.75" x14ac:dyDescent="0.3">
      <c r="A1" s="59" t="s">
        <v>258</v>
      </c>
      <c r="B1" s="59"/>
      <c r="C1" s="59"/>
      <c r="D1" s="59"/>
      <c r="E1" s="59"/>
      <c r="F1" s="59"/>
    </row>
    <row r="2" spans="1:6" x14ac:dyDescent="0.25">
      <c r="A2" s="7" t="s">
        <v>28</v>
      </c>
      <c r="B2" s="8" t="s">
        <v>26</v>
      </c>
      <c r="C2" s="8" t="s">
        <v>27</v>
      </c>
      <c r="D2" s="7" t="s">
        <v>249</v>
      </c>
      <c r="E2" s="7" t="s">
        <v>259</v>
      </c>
      <c r="F2" s="7" t="s">
        <v>272</v>
      </c>
    </row>
    <row r="3" spans="1:6" x14ac:dyDescent="0.25">
      <c r="A3" s="6" t="s">
        <v>25</v>
      </c>
      <c r="B3" s="33" t="s">
        <v>24</v>
      </c>
      <c r="C3" s="34"/>
      <c r="D3" s="34"/>
      <c r="E3" s="34"/>
      <c r="F3" s="34"/>
    </row>
    <row r="4" spans="1:6" ht="30" customHeight="1" x14ac:dyDescent="0.25">
      <c r="A4" s="3"/>
      <c r="B4" s="4"/>
      <c r="C4" s="19"/>
      <c r="D4" s="20"/>
      <c r="E4" s="24">
        <f>+C4*D4</f>
        <v>0</v>
      </c>
      <c r="F4" s="24" t="str">
        <f>IF(E4=0,"",IF(E4&gt;='NIVEL DE RIESGO'!$C$9,"MITIGACION",IF(E4&gt;'NIVEL DE RIESGO'!$C$10,"CONTINGENCIA","")))</f>
        <v/>
      </c>
    </row>
    <row r="5" spans="1:6" ht="15.75" x14ac:dyDescent="0.25">
      <c r="A5" s="14" t="s">
        <v>54</v>
      </c>
      <c r="B5" s="25" t="s">
        <v>53</v>
      </c>
      <c r="C5" s="26"/>
      <c r="D5" s="26"/>
      <c r="E5" s="26"/>
      <c r="F5" s="35"/>
    </row>
    <row r="6" spans="1:6" ht="30" customHeight="1" x14ac:dyDescent="0.25">
      <c r="A6" s="3"/>
      <c r="B6" s="4"/>
      <c r="C6" s="19"/>
      <c r="D6" s="20"/>
      <c r="E6" s="24">
        <f t="shared" ref="E6:E14" si="0">+C6*D6</f>
        <v>0</v>
      </c>
      <c r="F6" s="24" t="str">
        <f>IF(E6=0,"",IF(E6&gt;='NIVEL DE RIESGO'!$C$9,"MITIGACION",IF(E6&gt;'NIVEL DE RIESGO'!$C$10,"CONTINGENCIA","")))</f>
        <v/>
      </c>
    </row>
    <row r="7" spans="1:6" x14ac:dyDescent="0.25">
      <c r="A7" s="15" t="s">
        <v>252</v>
      </c>
      <c r="B7" s="25" t="s">
        <v>253</v>
      </c>
      <c r="C7" s="26"/>
      <c r="D7" s="26"/>
      <c r="E7" s="26"/>
      <c r="F7" s="35"/>
    </row>
    <row r="8" spans="1:6" ht="30" customHeight="1" x14ac:dyDescent="0.25">
      <c r="A8" s="3"/>
      <c r="B8" s="4"/>
      <c r="C8" s="19"/>
      <c r="D8" s="20"/>
      <c r="E8" s="24">
        <f t="shared" si="0"/>
        <v>0</v>
      </c>
      <c r="F8" s="24" t="str">
        <f>IF(E8=0,"",IF(E8&gt;='NIVEL DE RIESGO'!$C$9,"MITIGACION",IF(E8&gt;'NIVEL DE RIESGO'!$C$10,"CONTINGENCIA","")))</f>
        <v/>
      </c>
    </row>
    <row r="9" spans="1:6" s="12" customFormat="1" x14ac:dyDescent="0.25">
      <c r="A9" s="15" t="s">
        <v>81</v>
      </c>
      <c r="B9" s="21" t="s">
        <v>82</v>
      </c>
      <c r="C9" s="22"/>
      <c r="D9" s="22"/>
      <c r="E9" s="22"/>
      <c r="F9" s="36"/>
    </row>
    <row r="10" spans="1:6" s="12" customFormat="1" ht="30" customHeight="1" x14ac:dyDescent="0.25">
      <c r="A10" s="3"/>
      <c r="B10" s="4"/>
      <c r="C10" s="19"/>
      <c r="D10" s="20"/>
      <c r="E10" s="24">
        <f t="shared" si="0"/>
        <v>0</v>
      </c>
      <c r="F10" s="24" t="str">
        <f>IF(E10=0,"",IF(E10&gt;='NIVEL DE RIESGO'!$C$9,"MITIGACION",IF(E10&gt;'NIVEL DE RIESGO'!$C$10,"CONTINGENCIA","")))</f>
        <v/>
      </c>
    </row>
    <row r="11" spans="1:6" s="12" customFormat="1" x14ac:dyDescent="0.25">
      <c r="A11" s="15" t="s">
        <v>254</v>
      </c>
      <c r="B11" s="21" t="s">
        <v>255</v>
      </c>
      <c r="C11" s="22"/>
      <c r="D11" s="22"/>
      <c r="E11" s="22"/>
      <c r="F11" s="36"/>
    </row>
    <row r="12" spans="1:6" s="12" customFormat="1" ht="30" customHeight="1" x14ac:dyDescent="0.25">
      <c r="A12" s="3"/>
      <c r="B12" s="4"/>
      <c r="C12" s="19"/>
      <c r="D12" s="20"/>
      <c r="E12" s="24">
        <f t="shared" si="0"/>
        <v>0</v>
      </c>
      <c r="F12" s="24" t="str">
        <f>IF(E12=0,"",IF(E12&gt;='NIVEL DE RIESGO'!$C$9,"MITIGACION",IF(E12&gt;'NIVEL DE RIESGO'!$C$10,"CONTINGENCIA","")))</f>
        <v/>
      </c>
    </row>
    <row r="13" spans="1:6" x14ac:dyDescent="0.25">
      <c r="A13" s="15" t="s">
        <v>256</v>
      </c>
      <c r="B13" s="21" t="s">
        <v>257</v>
      </c>
      <c r="C13" s="22"/>
      <c r="D13" s="22"/>
      <c r="E13" s="22"/>
      <c r="F13" s="36"/>
    </row>
    <row r="14" spans="1:6" ht="30" customHeight="1" x14ac:dyDescent="0.25">
      <c r="A14" s="3"/>
      <c r="B14" s="4"/>
      <c r="C14" s="19"/>
      <c r="D14" s="20"/>
      <c r="E14" s="24">
        <f t="shared" si="0"/>
        <v>0</v>
      </c>
      <c r="F14" s="24" t="str">
        <f>IF(E14=0,"",IF(E14&gt;='NIVEL DE RIESGO'!$C$9,"MITIGACION",IF(E14&gt;'NIVEL DE RIESGO'!$C$10,"CONTINGENCIA","")))</f>
        <v/>
      </c>
    </row>
    <row r="15" spans="1:6" x14ac:dyDescent="0.25">
      <c r="A15" s="15" t="s">
        <v>159</v>
      </c>
      <c r="B15" s="21" t="s">
        <v>160</v>
      </c>
      <c r="C15" s="22"/>
      <c r="D15" s="22"/>
      <c r="E15" s="22"/>
      <c r="F15" s="36"/>
    </row>
    <row r="16" spans="1:6" ht="30" customHeight="1" x14ac:dyDescent="0.25">
      <c r="A16" s="3"/>
      <c r="B16" s="4"/>
      <c r="C16" s="19"/>
      <c r="D16" s="20"/>
      <c r="E16" s="24">
        <f t="shared" ref="E16" si="1">+C16*D16</f>
        <v>0</v>
      </c>
      <c r="F16" s="24" t="str">
        <f>IF(E16=0,"",IF(E16&gt;='NIVEL DE RIESGO'!$C$9,"MITIGACION",IF(E16&gt;'NIVEL DE RIESGO'!$C$10,"CONTINGENCIA","")))</f>
        <v/>
      </c>
    </row>
    <row r="17" spans="1:6" x14ac:dyDescent="0.25">
      <c r="A17" s="15" t="s">
        <v>209</v>
      </c>
      <c r="B17" s="21" t="s">
        <v>210</v>
      </c>
      <c r="C17" s="22"/>
      <c r="D17" s="22"/>
      <c r="E17" s="22"/>
      <c r="F17" s="36"/>
    </row>
    <row r="18" spans="1:6" ht="30" customHeight="1" x14ac:dyDescent="0.25">
      <c r="A18" s="3"/>
      <c r="B18" s="4"/>
      <c r="C18" s="19"/>
      <c r="D18" s="20"/>
      <c r="E18" s="24">
        <f t="shared" ref="E18" si="2">+C18*D18</f>
        <v>0</v>
      </c>
      <c r="F18" s="24" t="str">
        <f>IF(E18=0,"",IF(E18&gt;='NIVEL DE RIESGO'!$C$9,"MITIGACION",IF(E18&gt;'NIVEL DE RIESGO'!$C$10,"CONTINGENCIA","")))</f>
        <v/>
      </c>
    </row>
    <row r="19" spans="1:6" x14ac:dyDescent="0.25">
      <c r="A19" s="15" t="s">
        <v>229</v>
      </c>
      <c r="B19" s="21" t="s">
        <v>230</v>
      </c>
      <c r="C19" s="22"/>
      <c r="D19" s="22"/>
      <c r="E19" s="22"/>
      <c r="F19" s="36"/>
    </row>
    <row r="20" spans="1:6" ht="30" customHeight="1" x14ac:dyDescent="0.25">
      <c r="A20" s="3"/>
      <c r="B20" s="4"/>
      <c r="C20" s="19"/>
      <c r="D20" s="20"/>
      <c r="E20" s="24">
        <f t="shared" ref="E20" si="3">+C20*D20</f>
        <v>0</v>
      </c>
      <c r="F20" s="24" t="str">
        <f>IF(E20=0,"",IF(E20&gt;='NIVEL DE RIESGO'!$C$9,"MITIGACION",IF(E20&gt;'NIVEL DE RIESGO'!$C$10,"CONTINGENCIA","")))</f>
        <v/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showGridLines="0" zoomScale="90" zoomScaleNormal="90" workbookViewId="0">
      <selection activeCell="B13" sqref="B13:C13"/>
    </sheetView>
  </sheetViews>
  <sheetFormatPr baseColWidth="10" defaultRowHeight="15" x14ac:dyDescent="0.25"/>
  <cols>
    <col min="1" max="1" width="5.42578125" bestFit="1" customWidth="1"/>
    <col min="2" max="2" width="125.7109375" customWidth="1"/>
    <col min="3" max="4" width="14.140625" bestFit="1" customWidth="1"/>
    <col min="5" max="5" width="13.28515625" bestFit="1" customWidth="1"/>
  </cols>
  <sheetData>
    <row r="1" spans="1:6" ht="19.5" thickBot="1" x14ac:dyDescent="0.35">
      <c r="A1" s="65" t="s">
        <v>279</v>
      </c>
      <c r="B1" s="65"/>
      <c r="C1" s="65"/>
      <c r="D1" s="42"/>
      <c r="E1" s="42"/>
      <c r="F1" s="42"/>
    </row>
    <row r="2" spans="1:6" x14ac:dyDescent="0.25">
      <c r="A2" s="30" t="s">
        <v>28</v>
      </c>
      <c r="B2" s="43" t="s">
        <v>262</v>
      </c>
      <c r="C2" s="45"/>
      <c r="D2" s="30" t="s">
        <v>27</v>
      </c>
      <c r="E2" s="47" t="s">
        <v>249</v>
      </c>
      <c r="F2" s="48" t="s">
        <v>259</v>
      </c>
    </row>
    <row r="3" spans="1:6" ht="30" customHeight="1" thickBot="1" x14ac:dyDescent="0.3">
      <c r="A3" s="29"/>
      <c r="B3" s="44"/>
      <c r="C3" s="46"/>
      <c r="D3" s="53"/>
      <c r="E3" s="54"/>
      <c r="F3" s="52">
        <f>+D3*E3</f>
        <v>0</v>
      </c>
    </row>
    <row r="4" spans="1:6" ht="15.75" thickTop="1" x14ac:dyDescent="0.25">
      <c r="A4" s="60" t="s">
        <v>261</v>
      </c>
      <c r="B4" s="61"/>
      <c r="C4" s="62"/>
      <c r="D4" s="49" t="s">
        <v>273</v>
      </c>
      <c r="E4" s="50" t="s">
        <v>274</v>
      </c>
      <c r="F4" s="51" t="s">
        <v>259</v>
      </c>
    </row>
    <row r="5" spans="1:6" ht="45" customHeight="1" x14ac:dyDescent="0.25">
      <c r="A5" s="31">
        <v>1</v>
      </c>
      <c r="B5" s="63"/>
      <c r="C5" s="64"/>
      <c r="D5" s="68"/>
      <c r="E5" s="71"/>
      <c r="F5" s="74">
        <f>+D5*E5</f>
        <v>0</v>
      </c>
    </row>
    <row r="6" spans="1:6" ht="45" customHeight="1" x14ac:dyDescent="0.25">
      <c r="A6" s="31">
        <v>2</v>
      </c>
      <c r="B6" s="63"/>
      <c r="C6" s="64"/>
      <c r="D6" s="69"/>
      <c r="E6" s="72"/>
      <c r="F6" s="75"/>
    </row>
    <row r="7" spans="1:6" ht="45" customHeight="1" thickBot="1" x14ac:dyDescent="0.3">
      <c r="A7" s="32">
        <v>3</v>
      </c>
      <c r="B7" s="66"/>
      <c r="C7" s="67"/>
      <c r="D7" s="70"/>
      <c r="E7" s="73"/>
      <c r="F7" s="76"/>
    </row>
    <row r="8" spans="1:6" ht="15.75" thickBot="1" x14ac:dyDescent="0.3"/>
    <row r="9" spans="1:6" x14ac:dyDescent="0.25">
      <c r="A9" s="30" t="s">
        <v>28</v>
      </c>
      <c r="B9" s="43" t="s">
        <v>263</v>
      </c>
      <c r="C9" s="45"/>
      <c r="D9" s="30" t="s">
        <v>27</v>
      </c>
      <c r="E9" s="47" t="s">
        <v>249</v>
      </c>
      <c r="F9" s="48" t="s">
        <v>259</v>
      </c>
    </row>
    <row r="10" spans="1:6" ht="30" customHeight="1" thickBot="1" x14ac:dyDescent="0.3">
      <c r="A10" s="29"/>
      <c r="B10" s="44"/>
      <c r="C10" s="46"/>
      <c r="D10" s="53"/>
      <c r="E10" s="54"/>
      <c r="F10" s="52">
        <f>+D10*E10</f>
        <v>0</v>
      </c>
    </row>
    <row r="11" spans="1:6" ht="15.75" thickTop="1" x14ac:dyDescent="0.25">
      <c r="A11" s="60" t="s">
        <v>261</v>
      </c>
      <c r="B11" s="61"/>
      <c r="C11" s="62"/>
      <c r="D11" s="49" t="s">
        <v>273</v>
      </c>
      <c r="E11" s="50" t="s">
        <v>274</v>
      </c>
      <c r="F11" s="51" t="s">
        <v>259</v>
      </c>
    </row>
    <row r="12" spans="1:6" ht="45" customHeight="1" x14ac:dyDescent="0.25">
      <c r="A12" s="31">
        <v>1</v>
      </c>
      <c r="B12" s="63"/>
      <c r="C12" s="64"/>
      <c r="D12" s="68"/>
      <c r="E12" s="71"/>
      <c r="F12" s="74">
        <f>+D12*E12</f>
        <v>0</v>
      </c>
    </row>
    <row r="13" spans="1:6" ht="45" customHeight="1" x14ac:dyDescent="0.25">
      <c r="A13" s="31">
        <v>2</v>
      </c>
      <c r="B13" s="63"/>
      <c r="C13" s="64"/>
      <c r="D13" s="69"/>
      <c r="E13" s="72"/>
      <c r="F13" s="75"/>
    </row>
    <row r="14" spans="1:6" ht="45" customHeight="1" thickBot="1" x14ac:dyDescent="0.3">
      <c r="A14" s="32">
        <v>3</v>
      </c>
      <c r="B14" s="66"/>
      <c r="C14" s="67"/>
      <c r="D14" s="70"/>
      <c r="E14" s="73"/>
      <c r="F14" s="76"/>
    </row>
    <row r="15" spans="1:6" ht="15.75" thickBot="1" x14ac:dyDescent="0.3"/>
    <row r="16" spans="1:6" x14ac:dyDescent="0.25">
      <c r="A16" s="30" t="s">
        <v>28</v>
      </c>
      <c r="B16" s="43" t="s">
        <v>264</v>
      </c>
      <c r="C16" s="45"/>
      <c r="D16" s="30" t="s">
        <v>27</v>
      </c>
      <c r="E16" s="47" t="s">
        <v>249</v>
      </c>
      <c r="F16" s="48" t="s">
        <v>259</v>
      </c>
    </row>
    <row r="17" spans="1:6" ht="30" customHeight="1" thickBot="1" x14ac:dyDescent="0.3">
      <c r="A17" s="29"/>
      <c r="B17" s="44"/>
      <c r="C17" s="46"/>
      <c r="D17" s="53"/>
      <c r="E17" s="54"/>
      <c r="F17" s="52">
        <f>+D17*E17</f>
        <v>0</v>
      </c>
    </row>
    <row r="18" spans="1:6" ht="15.75" thickTop="1" x14ac:dyDescent="0.25">
      <c r="A18" s="60" t="s">
        <v>261</v>
      </c>
      <c r="B18" s="61"/>
      <c r="C18" s="62"/>
      <c r="D18" s="49" t="s">
        <v>273</v>
      </c>
      <c r="E18" s="50" t="s">
        <v>274</v>
      </c>
      <c r="F18" s="51" t="s">
        <v>259</v>
      </c>
    </row>
    <row r="19" spans="1:6" ht="45" customHeight="1" x14ac:dyDescent="0.25">
      <c r="A19" s="31">
        <v>1</v>
      </c>
      <c r="B19" s="63"/>
      <c r="C19" s="64"/>
      <c r="D19" s="68"/>
      <c r="E19" s="71"/>
      <c r="F19" s="74">
        <f>+D19*E19</f>
        <v>0</v>
      </c>
    </row>
    <row r="20" spans="1:6" ht="45" customHeight="1" x14ac:dyDescent="0.25">
      <c r="A20" s="31">
        <v>2</v>
      </c>
      <c r="B20" s="63"/>
      <c r="C20" s="64"/>
      <c r="D20" s="69"/>
      <c r="E20" s="72"/>
      <c r="F20" s="75"/>
    </row>
    <row r="21" spans="1:6" ht="45" customHeight="1" thickBot="1" x14ac:dyDescent="0.3">
      <c r="A21" s="32">
        <v>3</v>
      </c>
      <c r="B21" s="66"/>
      <c r="C21" s="67"/>
      <c r="D21" s="70"/>
      <c r="E21" s="73"/>
      <c r="F21" s="76"/>
    </row>
    <row r="22" spans="1:6" ht="15.75" thickBot="1" x14ac:dyDescent="0.3"/>
    <row r="23" spans="1:6" x14ac:dyDescent="0.25">
      <c r="A23" s="30" t="s">
        <v>28</v>
      </c>
      <c r="B23" s="43" t="s">
        <v>275</v>
      </c>
      <c r="C23" s="45"/>
      <c r="D23" s="30" t="s">
        <v>27</v>
      </c>
      <c r="E23" s="47" t="s">
        <v>249</v>
      </c>
      <c r="F23" s="48" t="s">
        <v>259</v>
      </c>
    </row>
    <row r="24" spans="1:6" ht="30" customHeight="1" thickBot="1" x14ac:dyDescent="0.3">
      <c r="A24" s="29"/>
      <c r="B24" s="44"/>
      <c r="C24" s="46"/>
      <c r="D24" s="53"/>
      <c r="E24" s="54"/>
      <c r="F24" s="52">
        <f>+D24*E24</f>
        <v>0</v>
      </c>
    </row>
    <row r="25" spans="1:6" ht="15.75" thickTop="1" x14ac:dyDescent="0.25">
      <c r="A25" s="60" t="s">
        <v>261</v>
      </c>
      <c r="B25" s="61"/>
      <c r="C25" s="62"/>
      <c r="D25" s="49" t="s">
        <v>273</v>
      </c>
      <c r="E25" s="50" t="s">
        <v>274</v>
      </c>
      <c r="F25" s="51" t="s">
        <v>259</v>
      </c>
    </row>
    <row r="26" spans="1:6" ht="45" customHeight="1" x14ac:dyDescent="0.25">
      <c r="A26" s="31">
        <v>1</v>
      </c>
      <c r="B26" s="63"/>
      <c r="C26" s="64"/>
      <c r="D26" s="68"/>
      <c r="E26" s="71"/>
      <c r="F26" s="74">
        <f>+D26*E26</f>
        <v>0</v>
      </c>
    </row>
    <row r="27" spans="1:6" ht="45" customHeight="1" x14ac:dyDescent="0.25">
      <c r="A27" s="31">
        <v>2</v>
      </c>
      <c r="B27" s="63"/>
      <c r="C27" s="64"/>
      <c r="D27" s="69"/>
      <c r="E27" s="72"/>
      <c r="F27" s="75"/>
    </row>
    <row r="28" spans="1:6" ht="45" customHeight="1" thickBot="1" x14ac:dyDescent="0.3">
      <c r="A28" s="32">
        <v>3</v>
      </c>
      <c r="B28" s="66"/>
      <c r="C28" s="67"/>
      <c r="D28" s="70"/>
      <c r="E28" s="73"/>
      <c r="F28" s="76"/>
    </row>
    <row r="29" spans="1:6" ht="15.75" thickBot="1" x14ac:dyDescent="0.3"/>
    <row r="30" spans="1:6" x14ac:dyDescent="0.25">
      <c r="A30" s="30" t="s">
        <v>28</v>
      </c>
      <c r="B30" s="43" t="s">
        <v>276</v>
      </c>
      <c r="C30" s="45"/>
      <c r="D30" s="30" t="s">
        <v>27</v>
      </c>
      <c r="E30" s="47" t="s">
        <v>249</v>
      </c>
      <c r="F30" s="48" t="s">
        <v>259</v>
      </c>
    </row>
    <row r="31" spans="1:6" ht="30" customHeight="1" thickBot="1" x14ac:dyDescent="0.3">
      <c r="A31" s="29"/>
      <c r="B31" s="44"/>
      <c r="C31" s="46"/>
      <c r="D31" s="53"/>
      <c r="E31" s="54"/>
      <c r="F31" s="52">
        <f>+D31*E31</f>
        <v>0</v>
      </c>
    </row>
    <row r="32" spans="1:6" ht="15.75" thickTop="1" x14ac:dyDescent="0.25">
      <c r="A32" s="60" t="s">
        <v>261</v>
      </c>
      <c r="B32" s="61"/>
      <c r="C32" s="62"/>
      <c r="D32" s="49" t="s">
        <v>273</v>
      </c>
      <c r="E32" s="50" t="s">
        <v>274</v>
      </c>
      <c r="F32" s="51" t="s">
        <v>259</v>
      </c>
    </row>
    <row r="33" spans="1:6" ht="45" customHeight="1" x14ac:dyDescent="0.25">
      <c r="A33" s="31">
        <v>1</v>
      </c>
      <c r="B33" s="63"/>
      <c r="C33" s="64"/>
      <c r="D33" s="68"/>
      <c r="E33" s="71"/>
      <c r="F33" s="74">
        <f>+D33*E33</f>
        <v>0</v>
      </c>
    </row>
    <row r="34" spans="1:6" ht="45" customHeight="1" x14ac:dyDescent="0.25">
      <c r="A34" s="31">
        <v>2</v>
      </c>
      <c r="B34" s="63"/>
      <c r="C34" s="64"/>
      <c r="D34" s="69"/>
      <c r="E34" s="72"/>
      <c r="F34" s="75"/>
    </row>
    <row r="35" spans="1:6" ht="45" customHeight="1" thickBot="1" x14ac:dyDescent="0.3">
      <c r="A35" s="32">
        <v>3</v>
      </c>
      <c r="B35" s="66"/>
      <c r="C35" s="67"/>
      <c r="D35" s="70"/>
      <c r="E35" s="73"/>
      <c r="F35" s="76"/>
    </row>
    <row r="36" spans="1:6" ht="15.75" thickBot="1" x14ac:dyDescent="0.3"/>
    <row r="37" spans="1:6" x14ac:dyDescent="0.25">
      <c r="A37" s="30" t="s">
        <v>28</v>
      </c>
      <c r="B37" s="43" t="s">
        <v>277</v>
      </c>
      <c r="C37" s="45"/>
      <c r="D37" s="30" t="s">
        <v>27</v>
      </c>
      <c r="E37" s="47" t="s">
        <v>249</v>
      </c>
      <c r="F37" s="48" t="s">
        <v>259</v>
      </c>
    </row>
    <row r="38" spans="1:6" ht="30" customHeight="1" thickBot="1" x14ac:dyDescent="0.3">
      <c r="A38" s="29"/>
      <c r="B38" s="44"/>
      <c r="C38" s="46"/>
      <c r="D38" s="53"/>
      <c r="E38" s="54"/>
      <c r="F38" s="52">
        <f>+D38*E38</f>
        <v>0</v>
      </c>
    </row>
    <row r="39" spans="1:6" ht="15.75" thickTop="1" x14ac:dyDescent="0.25">
      <c r="A39" s="60" t="s">
        <v>261</v>
      </c>
      <c r="B39" s="61"/>
      <c r="C39" s="62"/>
      <c r="D39" s="49" t="s">
        <v>273</v>
      </c>
      <c r="E39" s="50" t="s">
        <v>274</v>
      </c>
      <c r="F39" s="51" t="s">
        <v>259</v>
      </c>
    </row>
    <row r="40" spans="1:6" ht="45" customHeight="1" x14ac:dyDescent="0.25">
      <c r="A40" s="31">
        <v>1</v>
      </c>
      <c r="B40" s="63"/>
      <c r="C40" s="64"/>
      <c r="D40" s="68"/>
      <c r="E40" s="71"/>
      <c r="F40" s="74">
        <f>+D40*E40</f>
        <v>0</v>
      </c>
    </row>
    <row r="41" spans="1:6" ht="45" customHeight="1" x14ac:dyDescent="0.25">
      <c r="A41" s="31">
        <v>2</v>
      </c>
      <c r="B41" s="63"/>
      <c r="C41" s="64"/>
      <c r="D41" s="69"/>
      <c r="E41" s="72"/>
      <c r="F41" s="75"/>
    </row>
    <row r="42" spans="1:6" ht="45" customHeight="1" thickBot="1" x14ac:dyDescent="0.3">
      <c r="A42" s="32">
        <v>3</v>
      </c>
      <c r="B42" s="66"/>
      <c r="C42" s="67"/>
      <c r="D42" s="70"/>
      <c r="E42" s="73"/>
      <c r="F42" s="76"/>
    </row>
  </sheetData>
  <mergeCells count="43">
    <mergeCell ref="A39:C39"/>
    <mergeCell ref="B40:C40"/>
    <mergeCell ref="D40:D42"/>
    <mergeCell ref="E40:E42"/>
    <mergeCell ref="F40:F42"/>
    <mergeCell ref="B41:C41"/>
    <mergeCell ref="B42:C42"/>
    <mergeCell ref="A32:C32"/>
    <mergeCell ref="B33:C33"/>
    <mergeCell ref="D33:D35"/>
    <mergeCell ref="E33:E35"/>
    <mergeCell ref="F33:F35"/>
    <mergeCell ref="B34:C34"/>
    <mergeCell ref="B35:C35"/>
    <mergeCell ref="E19:E21"/>
    <mergeCell ref="F19:F21"/>
    <mergeCell ref="B20:C20"/>
    <mergeCell ref="B21:C21"/>
    <mergeCell ref="A25:C25"/>
    <mergeCell ref="B26:C26"/>
    <mergeCell ref="D26:D28"/>
    <mergeCell ref="E26:E28"/>
    <mergeCell ref="F26:F28"/>
    <mergeCell ref="D5:D7"/>
    <mergeCell ref="E5:E7"/>
    <mergeCell ref="F5:F7"/>
    <mergeCell ref="D12:D14"/>
    <mergeCell ref="E12:E14"/>
    <mergeCell ref="F12:F14"/>
    <mergeCell ref="A18:C18"/>
    <mergeCell ref="B19:C19"/>
    <mergeCell ref="D19:D21"/>
    <mergeCell ref="B27:C27"/>
    <mergeCell ref="B28:C28"/>
    <mergeCell ref="B14:C14"/>
    <mergeCell ref="A11:C11"/>
    <mergeCell ref="B12:C12"/>
    <mergeCell ref="B13:C13"/>
    <mergeCell ref="A1:C1"/>
    <mergeCell ref="A4:C4"/>
    <mergeCell ref="B5:C5"/>
    <mergeCell ref="B6:C6"/>
    <mergeCell ref="B7:C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showGridLines="0" zoomScale="90" zoomScaleNormal="90" workbookViewId="0">
      <selection activeCell="H9" sqref="H9"/>
    </sheetView>
  </sheetViews>
  <sheetFormatPr baseColWidth="10" defaultRowHeight="15" x14ac:dyDescent="0.25"/>
  <cols>
    <col min="1" max="1" width="5.42578125" bestFit="1" customWidth="1"/>
    <col min="2" max="2" width="125.7109375" customWidth="1"/>
    <col min="3" max="4" width="14.140625" bestFit="1" customWidth="1"/>
    <col min="5" max="5" width="13.28515625" bestFit="1" customWidth="1"/>
  </cols>
  <sheetData>
    <row r="1" spans="1:6" ht="19.5" thickBot="1" x14ac:dyDescent="0.35">
      <c r="A1" s="65" t="s">
        <v>278</v>
      </c>
      <c r="B1" s="65"/>
      <c r="C1" s="65"/>
      <c r="D1" s="42"/>
      <c r="E1" s="42"/>
      <c r="F1" s="42"/>
    </row>
    <row r="2" spans="1:6" x14ac:dyDescent="0.25">
      <c r="A2" s="30" t="s">
        <v>28</v>
      </c>
      <c r="B2" s="43" t="s">
        <v>262</v>
      </c>
      <c r="C2" s="45"/>
      <c r="D2" s="30" t="s">
        <v>27</v>
      </c>
      <c r="E2" s="47" t="s">
        <v>249</v>
      </c>
      <c r="F2" s="48" t="s">
        <v>259</v>
      </c>
    </row>
    <row r="3" spans="1:6" ht="30" customHeight="1" thickBot="1" x14ac:dyDescent="0.3">
      <c r="A3" s="29"/>
      <c r="B3" s="44"/>
      <c r="C3" s="46"/>
      <c r="D3" s="53"/>
      <c r="E3" s="54"/>
      <c r="F3" s="52">
        <f>+D3*E3</f>
        <v>0</v>
      </c>
    </row>
    <row r="4" spans="1:6" ht="15.75" thickTop="1" x14ac:dyDescent="0.25">
      <c r="A4" s="55" t="s">
        <v>260</v>
      </c>
      <c r="B4" s="56"/>
      <c r="C4" s="56"/>
      <c r="D4" s="56"/>
      <c r="E4" s="56"/>
      <c r="F4" s="57"/>
    </row>
    <row r="5" spans="1:6" ht="45" customHeight="1" x14ac:dyDescent="0.25">
      <c r="A5" s="31">
        <v>1</v>
      </c>
      <c r="B5" s="77"/>
      <c r="C5" s="78"/>
      <c r="D5" s="78"/>
      <c r="E5" s="78"/>
      <c r="F5" s="79"/>
    </row>
    <row r="6" spans="1:6" ht="45" customHeight="1" x14ac:dyDescent="0.25">
      <c r="A6" s="31">
        <v>2</v>
      </c>
      <c r="B6" s="77"/>
      <c r="C6" s="78"/>
      <c r="D6" s="78"/>
      <c r="E6" s="78"/>
      <c r="F6" s="79"/>
    </row>
    <row r="7" spans="1:6" ht="45" customHeight="1" thickBot="1" x14ac:dyDescent="0.3">
      <c r="A7" s="32">
        <v>3</v>
      </c>
      <c r="B7" s="80"/>
      <c r="C7" s="81"/>
      <c r="D7" s="81"/>
      <c r="E7" s="81"/>
      <c r="F7" s="82"/>
    </row>
    <row r="8" spans="1:6" ht="15.75" thickBot="1" x14ac:dyDescent="0.3"/>
    <row r="9" spans="1:6" x14ac:dyDescent="0.25">
      <c r="A9" s="30" t="s">
        <v>28</v>
      </c>
      <c r="B9" s="43" t="s">
        <v>263</v>
      </c>
      <c r="C9" s="45"/>
      <c r="D9" s="30" t="s">
        <v>27</v>
      </c>
      <c r="E9" s="47" t="s">
        <v>249</v>
      </c>
      <c r="F9" s="48" t="s">
        <v>259</v>
      </c>
    </row>
    <row r="10" spans="1:6" ht="30" customHeight="1" thickBot="1" x14ac:dyDescent="0.3">
      <c r="A10" s="29"/>
      <c r="B10" s="44"/>
      <c r="C10" s="46"/>
      <c r="D10" s="53"/>
      <c r="E10" s="54"/>
      <c r="F10" s="52">
        <f>+D10*E10</f>
        <v>0</v>
      </c>
    </row>
    <row r="11" spans="1:6" ht="15.75" thickTop="1" x14ac:dyDescent="0.25">
      <c r="A11" s="55" t="s">
        <v>260</v>
      </c>
      <c r="B11" s="56"/>
      <c r="C11" s="56"/>
      <c r="D11" s="56"/>
      <c r="E11" s="56"/>
      <c r="F11" s="57"/>
    </row>
    <row r="12" spans="1:6" ht="45" customHeight="1" x14ac:dyDescent="0.25">
      <c r="A12" s="31">
        <v>1</v>
      </c>
      <c r="B12" s="77"/>
      <c r="C12" s="78"/>
      <c r="D12" s="78"/>
      <c r="E12" s="78"/>
      <c r="F12" s="79"/>
    </row>
    <row r="13" spans="1:6" ht="45" customHeight="1" x14ac:dyDescent="0.25">
      <c r="A13" s="31">
        <v>2</v>
      </c>
      <c r="B13" s="77"/>
      <c r="C13" s="78"/>
      <c r="D13" s="78"/>
      <c r="E13" s="78"/>
      <c r="F13" s="79"/>
    </row>
    <row r="14" spans="1:6" ht="45" customHeight="1" thickBot="1" x14ac:dyDescent="0.3">
      <c r="A14" s="32">
        <v>3</v>
      </c>
      <c r="B14" s="80"/>
      <c r="C14" s="81"/>
      <c r="D14" s="81"/>
      <c r="E14" s="81"/>
      <c r="F14" s="82"/>
    </row>
    <row r="15" spans="1:6" ht="15.75" thickBot="1" x14ac:dyDescent="0.3"/>
    <row r="16" spans="1:6" x14ac:dyDescent="0.25">
      <c r="A16" s="30" t="s">
        <v>28</v>
      </c>
      <c r="B16" s="43" t="s">
        <v>264</v>
      </c>
      <c r="C16" s="45"/>
      <c r="D16" s="30" t="s">
        <v>27</v>
      </c>
      <c r="E16" s="47" t="s">
        <v>249</v>
      </c>
      <c r="F16" s="48" t="s">
        <v>259</v>
      </c>
    </row>
    <row r="17" spans="1:6" ht="30" customHeight="1" thickBot="1" x14ac:dyDescent="0.3">
      <c r="A17" s="29"/>
      <c r="B17" s="44"/>
      <c r="C17" s="46"/>
      <c r="D17" s="53"/>
      <c r="E17" s="54"/>
      <c r="F17" s="52">
        <f>+D17*E17</f>
        <v>0</v>
      </c>
    </row>
    <row r="18" spans="1:6" ht="15.75" thickTop="1" x14ac:dyDescent="0.25">
      <c r="A18" s="55" t="s">
        <v>260</v>
      </c>
      <c r="B18" s="56"/>
      <c r="C18" s="56"/>
      <c r="D18" s="56"/>
      <c r="E18" s="56"/>
      <c r="F18" s="57"/>
    </row>
    <row r="19" spans="1:6" ht="45" customHeight="1" x14ac:dyDescent="0.25">
      <c r="A19" s="31">
        <v>1</v>
      </c>
      <c r="B19" s="77"/>
      <c r="C19" s="78"/>
      <c r="D19" s="78"/>
      <c r="E19" s="78"/>
      <c r="F19" s="79"/>
    </row>
    <row r="20" spans="1:6" ht="45" customHeight="1" x14ac:dyDescent="0.25">
      <c r="A20" s="31">
        <v>2</v>
      </c>
      <c r="B20" s="77"/>
      <c r="C20" s="78"/>
      <c r="D20" s="78"/>
      <c r="E20" s="78"/>
      <c r="F20" s="79"/>
    </row>
    <row r="21" spans="1:6" ht="45" customHeight="1" thickBot="1" x14ac:dyDescent="0.3">
      <c r="A21" s="32">
        <v>3</v>
      </c>
      <c r="B21" s="80"/>
      <c r="C21" s="81"/>
      <c r="D21" s="81"/>
      <c r="E21" s="81"/>
      <c r="F21" s="82"/>
    </row>
    <row r="22" spans="1:6" ht="15.75" thickBot="1" x14ac:dyDescent="0.3"/>
    <row r="23" spans="1:6" x14ac:dyDescent="0.25">
      <c r="A23" s="30" t="s">
        <v>28</v>
      </c>
      <c r="B23" s="43" t="s">
        <v>275</v>
      </c>
      <c r="C23" s="45"/>
      <c r="D23" s="30" t="s">
        <v>27</v>
      </c>
      <c r="E23" s="47" t="s">
        <v>249</v>
      </c>
      <c r="F23" s="48" t="s">
        <v>259</v>
      </c>
    </row>
    <row r="24" spans="1:6" ht="30" customHeight="1" thickBot="1" x14ac:dyDescent="0.3">
      <c r="A24" s="29"/>
      <c r="B24" s="44"/>
      <c r="C24" s="46"/>
      <c r="D24" s="53"/>
      <c r="E24" s="54"/>
      <c r="F24" s="52">
        <f>+D24*E24</f>
        <v>0</v>
      </c>
    </row>
    <row r="25" spans="1:6" ht="15.75" thickTop="1" x14ac:dyDescent="0.25">
      <c r="A25" s="55" t="s">
        <v>260</v>
      </c>
      <c r="B25" s="56"/>
      <c r="C25" s="56"/>
      <c r="D25" s="56"/>
      <c r="E25" s="56"/>
      <c r="F25" s="57"/>
    </row>
    <row r="26" spans="1:6" ht="45" customHeight="1" x14ac:dyDescent="0.25">
      <c r="A26" s="31">
        <v>1</v>
      </c>
      <c r="B26" s="77"/>
      <c r="C26" s="78"/>
      <c r="D26" s="78"/>
      <c r="E26" s="78"/>
      <c r="F26" s="79"/>
    </row>
    <row r="27" spans="1:6" ht="45" customHeight="1" x14ac:dyDescent="0.25">
      <c r="A27" s="31">
        <v>2</v>
      </c>
      <c r="B27" s="77"/>
      <c r="C27" s="78"/>
      <c r="D27" s="78"/>
      <c r="E27" s="78"/>
      <c r="F27" s="79"/>
    </row>
    <row r="28" spans="1:6" ht="45" customHeight="1" thickBot="1" x14ac:dyDescent="0.3">
      <c r="A28" s="32">
        <v>3</v>
      </c>
      <c r="B28" s="80"/>
      <c r="C28" s="81"/>
      <c r="D28" s="81"/>
      <c r="E28" s="81"/>
      <c r="F28" s="82"/>
    </row>
    <row r="29" spans="1:6" ht="15.75" thickBot="1" x14ac:dyDescent="0.3"/>
    <row r="30" spans="1:6" x14ac:dyDescent="0.25">
      <c r="A30" s="30" t="s">
        <v>28</v>
      </c>
      <c r="B30" s="43" t="s">
        <v>276</v>
      </c>
      <c r="C30" s="45"/>
      <c r="D30" s="30" t="s">
        <v>27</v>
      </c>
      <c r="E30" s="47" t="s">
        <v>249</v>
      </c>
      <c r="F30" s="48" t="s">
        <v>259</v>
      </c>
    </row>
    <row r="31" spans="1:6" ht="30" customHeight="1" thickBot="1" x14ac:dyDescent="0.3">
      <c r="A31" s="29"/>
      <c r="B31" s="44"/>
      <c r="C31" s="46"/>
      <c r="D31" s="53"/>
      <c r="E31" s="54"/>
      <c r="F31" s="52">
        <f>+D31*E31</f>
        <v>0</v>
      </c>
    </row>
    <row r="32" spans="1:6" ht="15.75" thickTop="1" x14ac:dyDescent="0.25">
      <c r="A32" s="55" t="s">
        <v>260</v>
      </c>
      <c r="B32" s="56"/>
      <c r="C32" s="56"/>
      <c r="D32" s="56"/>
      <c r="E32" s="56"/>
      <c r="F32" s="57"/>
    </row>
    <row r="33" spans="1:6" ht="45" customHeight="1" x14ac:dyDescent="0.25">
      <c r="A33" s="31">
        <v>1</v>
      </c>
      <c r="B33" s="77"/>
      <c r="C33" s="78"/>
      <c r="D33" s="78"/>
      <c r="E33" s="78"/>
      <c r="F33" s="79"/>
    </row>
    <row r="34" spans="1:6" ht="45" customHeight="1" x14ac:dyDescent="0.25">
      <c r="A34" s="31">
        <v>2</v>
      </c>
      <c r="B34" s="77"/>
      <c r="C34" s="78"/>
      <c r="D34" s="78"/>
      <c r="E34" s="78"/>
      <c r="F34" s="79"/>
    </row>
    <row r="35" spans="1:6" ht="45" customHeight="1" thickBot="1" x14ac:dyDescent="0.3">
      <c r="A35" s="32">
        <v>3</v>
      </c>
      <c r="B35" s="80"/>
      <c r="C35" s="81"/>
      <c r="D35" s="81"/>
      <c r="E35" s="81"/>
      <c r="F35" s="82"/>
    </row>
    <row r="36" spans="1:6" ht="15.75" thickBot="1" x14ac:dyDescent="0.3"/>
    <row r="37" spans="1:6" x14ac:dyDescent="0.25">
      <c r="A37" s="30" t="s">
        <v>28</v>
      </c>
      <c r="B37" s="43" t="s">
        <v>277</v>
      </c>
      <c r="C37" s="45"/>
      <c r="D37" s="30" t="s">
        <v>27</v>
      </c>
      <c r="E37" s="47" t="s">
        <v>249</v>
      </c>
      <c r="F37" s="48" t="s">
        <v>259</v>
      </c>
    </row>
    <row r="38" spans="1:6" ht="30" customHeight="1" thickBot="1" x14ac:dyDescent="0.3">
      <c r="A38" s="29"/>
      <c r="B38" s="44"/>
      <c r="C38" s="46"/>
      <c r="D38" s="53"/>
      <c r="E38" s="54"/>
      <c r="F38" s="52">
        <f>+D38*E38</f>
        <v>0</v>
      </c>
    </row>
    <row r="39" spans="1:6" ht="15.75" thickTop="1" x14ac:dyDescent="0.25">
      <c r="A39" s="55" t="s">
        <v>260</v>
      </c>
      <c r="B39" s="56"/>
      <c r="C39" s="56"/>
      <c r="D39" s="56"/>
      <c r="E39" s="56"/>
      <c r="F39" s="57"/>
    </row>
    <row r="40" spans="1:6" ht="45" customHeight="1" x14ac:dyDescent="0.25">
      <c r="A40" s="31">
        <v>1</v>
      </c>
      <c r="B40" s="77"/>
      <c r="C40" s="78"/>
      <c r="D40" s="78"/>
      <c r="E40" s="78"/>
      <c r="F40" s="79"/>
    </row>
    <row r="41" spans="1:6" ht="45" customHeight="1" x14ac:dyDescent="0.25">
      <c r="A41" s="31">
        <v>2</v>
      </c>
      <c r="B41" s="77"/>
      <c r="C41" s="78"/>
      <c r="D41" s="78"/>
      <c r="E41" s="78"/>
      <c r="F41" s="79"/>
    </row>
    <row r="42" spans="1:6" ht="45" customHeight="1" thickBot="1" x14ac:dyDescent="0.3">
      <c r="A42" s="32">
        <v>3</v>
      </c>
      <c r="B42" s="80"/>
      <c r="C42" s="81"/>
      <c r="D42" s="81"/>
      <c r="E42" s="81"/>
      <c r="F42" s="82"/>
    </row>
  </sheetData>
  <mergeCells count="19">
    <mergeCell ref="B42:F42"/>
    <mergeCell ref="B33:F33"/>
    <mergeCell ref="B34:F34"/>
    <mergeCell ref="B35:F35"/>
    <mergeCell ref="B7:F7"/>
    <mergeCell ref="B12:F12"/>
    <mergeCell ref="B13:F13"/>
    <mergeCell ref="B14:F14"/>
    <mergeCell ref="B19:F19"/>
    <mergeCell ref="B28:F28"/>
    <mergeCell ref="B20:F20"/>
    <mergeCell ref="B21:F21"/>
    <mergeCell ref="B40:F40"/>
    <mergeCell ref="B41:F41"/>
    <mergeCell ref="A1:C1"/>
    <mergeCell ref="B5:F5"/>
    <mergeCell ref="B6:F6"/>
    <mergeCell ref="B26:F26"/>
    <mergeCell ref="B27:F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0"/>
  <sheetViews>
    <sheetView workbookViewId="0">
      <selection activeCell="B1" sqref="B1:C1048576"/>
    </sheetView>
  </sheetViews>
  <sheetFormatPr baseColWidth="10" defaultRowHeight="15" x14ac:dyDescent="0.25"/>
  <cols>
    <col min="2" max="2" width="17.28515625" hidden="1" customWidth="1"/>
    <col min="3" max="3" width="11.42578125" hidden="1" customWidth="1"/>
  </cols>
  <sheetData>
    <row r="2" spans="2:4" x14ac:dyDescent="0.25">
      <c r="B2" s="38" t="s">
        <v>265</v>
      </c>
      <c r="C2" s="39">
        <f>MAX(SELECCION!E4,SELECCION!E6,SELECCION!E8,SELECCION!E10,SELECCION!E12,SELECCION!E14,SELECCION!E16,SELECCION!E18,SELECCION!E20)</f>
        <v>0</v>
      </c>
    </row>
    <row r="3" spans="2:4" x14ac:dyDescent="0.25">
      <c r="B3" s="38" t="s">
        <v>266</v>
      </c>
      <c r="C3" s="39">
        <f>MIN(SELECCION!E4,SELECCION!E6,SELECCION!E8,SELECCION!E10,SELECCION!E12,SELECCION!E14,SELECCION!E16,SELECCION!E18,SELECCION!E20)</f>
        <v>0</v>
      </c>
    </row>
    <row r="4" spans="2:4" x14ac:dyDescent="0.25">
      <c r="B4" s="38" t="s">
        <v>267</v>
      </c>
      <c r="C4" s="39">
        <f>AVERAGE(SELECCION!E4,SELECCION!E6,SELECCION!E8,SELECCION!E10,SELECCION!E12,SELECCION!E14,SELECCION!E16,SELECCION!E18,SELECCION!E20)</f>
        <v>0</v>
      </c>
      <c r="D4" s="41"/>
    </row>
    <row r="5" spans="2:4" x14ac:dyDescent="0.25">
      <c r="B5" s="38"/>
      <c r="C5" s="39"/>
    </row>
    <row r="6" spans="2:4" x14ac:dyDescent="0.25">
      <c r="B6" s="38" t="s">
        <v>268</v>
      </c>
      <c r="C6" s="40">
        <f>+(C2-C4)/3</f>
        <v>0</v>
      </c>
    </row>
    <row r="7" spans="2:4" x14ac:dyDescent="0.25">
      <c r="B7" s="38" t="s">
        <v>269</v>
      </c>
      <c r="C7" s="40">
        <f>+(C4-C3)/3</f>
        <v>0</v>
      </c>
    </row>
    <row r="8" spans="2:4" x14ac:dyDescent="0.25">
      <c r="B8" s="38"/>
      <c r="C8" s="40"/>
    </row>
    <row r="9" spans="2:4" x14ac:dyDescent="0.25">
      <c r="B9" s="38" t="s">
        <v>270</v>
      </c>
      <c r="C9" s="40">
        <f>+C4+C6</f>
        <v>0</v>
      </c>
      <c r="D9" s="37"/>
    </row>
    <row r="10" spans="2:4" x14ac:dyDescent="0.25">
      <c r="B10" s="38" t="s">
        <v>271</v>
      </c>
      <c r="C10" s="40">
        <f>+C4-C7</f>
        <v>0</v>
      </c>
    </row>
  </sheetData>
  <sheetProtection algorithmName="SHA-512" hashValue="75btPrf7AAgvuUxU+y9vWuBH72WeK3FGjJWD/4I1xoN0Cc8UQ0vRot+Xqgp+fcIYbCGsFrx5NlDVqRsBHo9qgA==" saltValue="ewfh0yVlXx8dmqKuA9bRO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TODOS</vt:lpstr>
      <vt:lpstr>SELECCION</vt:lpstr>
      <vt:lpstr>MITIGACIÓN</vt:lpstr>
      <vt:lpstr>CONTINGENCIA</vt:lpstr>
      <vt:lpstr>NIVEL DE 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</dc:creator>
  <cp:lastModifiedBy>Antonio García Celda</cp:lastModifiedBy>
  <dcterms:created xsi:type="dcterms:W3CDTF">2015-05-14T10:32:58Z</dcterms:created>
  <dcterms:modified xsi:type="dcterms:W3CDTF">2022-05-06T11:42:14Z</dcterms:modified>
</cp:coreProperties>
</file>