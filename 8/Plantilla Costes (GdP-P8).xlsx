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Camilet\OneDrive\Desktop\GP Labs\8\"/>
    </mc:Choice>
  </mc:AlternateContent>
  <xr:revisionPtr revIDLastSave="0" documentId="13_ncr:1_{E79D8BD1-E34D-43C0-AA6B-8F7A090DAC81}" xr6:coauthVersionLast="47" xr6:coauthVersionMax="47" xr10:uidLastSave="{00000000-0000-0000-0000-000000000000}"/>
  <bookViews>
    <workbookView xWindow="-120" yWindow="-120" windowWidth="29040" windowHeight="16440" tabRatio="500" activeTab="4" xr2:uid="{00000000-000D-0000-FFFF-FFFF00000000}"/>
  </bookViews>
  <sheets>
    <sheet name="OVERHEAD" sheetId="1" r:id="rId1"/>
    <sheet name="ESTIMACION" sheetId="2" r:id="rId2"/>
    <sheet name="PLAN FINANCIERO" sheetId="3" r:id="rId3"/>
    <sheet name="INDICADORES" sheetId="4" r:id="rId4"/>
    <sheet name="CIERRE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72" i="5" l="1"/>
  <c r="H75" i="5" s="1"/>
  <c r="H92" i="5" s="1"/>
  <c r="H80" i="5"/>
  <c r="H36" i="5"/>
  <c r="E40" i="3"/>
  <c r="E66" i="3" s="1"/>
  <c r="D40" i="3"/>
  <c r="D66" i="3" s="1"/>
  <c r="O77" i="3"/>
  <c r="Q77" i="3" s="1"/>
  <c r="I77" i="3"/>
  <c r="D77" i="3"/>
  <c r="M46" i="3"/>
  <c r="Q46" i="3" s="1"/>
  <c r="M45" i="3"/>
  <c r="O27" i="3"/>
  <c r="N27" i="3"/>
  <c r="G27" i="3"/>
  <c r="F27" i="3"/>
  <c r="E27" i="3"/>
  <c r="O26" i="3"/>
  <c r="N26" i="3"/>
  <c r="E26" i="3"/>
  <c r="D26" i="3"/>
  <c r="O25" i="3"/>
  <c r="N25" i="3"/>
  <c r="I25" i="3"/>
  <c r="J25" i="3"/>
  <c r="K25" i="3"/>
  <c r="L25" i="3"/>
  <c r="M25" i="3"/>
  <c r="H25" i="3"/>
  <c r="G25" i="3"/>
  <c r="F25" i="3"/>
  <c r="E25" i="3"/>
  <c r="D25" i="3"/>
  <c r="O24" i="3"/>
  <c r="N24" i="3"/>
  <c r="I24" i="3"/>
  <c r="J24" i="3"/>
  <c r="K24" i="3"/>
  <c r="L24" i="3"/>
  <c r="M24" i="3"/>
  <c r="H24" i="3"/>
  <c r="G24" i="3"/>
  <c r="F24" i="3"/>
  <c r="E24" i="3"/>
  <c r="O23" i="3"/>
  <c r="N23" i="3"/>
  <c r="I23" i="3"/>
  <c r="J23" i="3"/>
  <c r="K23" i="3"/>
  <c r="L23" i="3"/>
  <c r="M23" i="3"/>
  <c r="H23" i="3"/>
  <c r="G23" i="3"/>
  <c r="F23" i="3"/>
  <c r="E23" i="3"/>
  <c r="D23" i="3"/>
  <c r="G22" i="3"/>
  <c r="F22" i="3"/>
  <c r="O21" i="3"/>
  <c r="N21" i="3"/>
  <c r="I21" i="3"/>
  <c r="J21" i="3"/>
  <c r="K21" i="3"/>
  <c r="L21" i="3"/>
  <c r="M21" i="3"/>
  <c r="H21" i="3"/>
  <c r="G21" i="3"/>
  <c r="F21" i="3"/>
  <c r="E21" i="3"/>
  <c r="D21" i="3"/>
  <c r="Q22" i="3"/>
  <c r="H28" i="2"/>
  <c r="H27" i="2"/>
  <c r="H26" i="2"/>
  <c r="J26" i="2" s="1"/>
  <c r="L26" i="2" s="1"/>
  <c r="M26" i="2" s="1"/>
  <c r="H25" i="2"/>
  <c r="H24" i="2"/>
  <c r="J24" i="2" s="1"/>
  <c r="L24" i="2" s="1"/>
  <c r="M24" i="2" s="1"/>
  <c r="H23" i="2"/>
  <c r="J23" i="2" s="1"/>
  <c r="L23" i="2" s="1"/>
  <c r="M23" i="2" s="1"/>
  <c r="H22" i="2"/>
  <c r="J22" i="2"/>
  <c r="L22" i="2" s="1"/>
  <c r="M22" i="2" s="1"/>
  <c r="F20" i="1"/>
  <c r="F23" i="1" s="1"/>
  <c r="C14" i="1"/>
  <c r="C23" i="1"/>
  <c r="H82" i="5"/>
  <c r="F73" i="5"/>
  <c r="J73" i="5" s="1"/>
  <c r="C73" i="5"/>
  <c r="C72" i="5"/>
  <c r="C71" i="5"/>
  <c r="C70" i="5"/>
  <c r="H65" i="5"/>
  <c r="C63" i="5"/>
  <c r="C62" i="5"/>
  <c r="C61" i="5"/>
  <c r="C60" i="5"/>
  <c r="C59" i="5"/>
  <c r="C58" i="5"/>
  <c r="C57" i="5"/>
  <c r="C56" i="5"/>
  <c r="H51" i="5"/>
  <c r="H90" i="5" s="1"/>
  <c r="C49" i="5"/>
  <c r="C48" i="5"/>
  <c r="C47" i="5"/>
  <c r="C46" i="5"/>
  <c r="H40" i="5"/>
  <c r="H89" i="5" s="1"/>
  <c r="C38" i="5"/>
  <c r="C37" i="5"/>
  <c r="C36" i="5"/>
  <c r="C35" i="5"/>
  <c r="H30" i="5"/>
  <c r="L11" i="5" s="1"/>
  <c r="M28" i="5"/>
  <c r="J28" i="5"/>
  <c r="F28" i="5"/>
  <c r="K28" i="5" s="1"/>
  <c r="C28" i="5"/>
  <c r="F27" i="5"/>
  <c r="K27" i="5" s="1"/>
  <c r="C27" i="5"/>
  <c r="F26" i="5"/>
  <c r="K26" i="5" s="1"/>
  <c r="C26" i="5"/>
  <c r="F25" i="5"/>
  <c r="K25" i="5" s="1"/>
  <c r="C25" i="5"/>
  <c r="F24" i="5"/>
  <c r="K24" i="5" s="1"/>
  <c r="C24" i="5"/>
  <c r="F23" i="5"/>
  <c r="K23" i="5" s="1"/>
  <c r="C23" i="5"/>
  <c r="F22" i="5"/>
  <c r="K22" i="5" s="1"/>
  <c r="C22" i="5"/>
  <c r="F21" i="5"/>
  <c r="K21" i="5" s="1"/>
  <c r="C21" i="5"/>
  <c r="K14" i="5"/>
  <c r="K13" i="5"/>
  <c r="K6" i="5"/>
  <c r="C6" i="5"/>
  <c r="K5" i="5"/>
  <c r="C5" i="5"/>
  <c r="M15" i="4"/>
  <c r="M14" i="4"/>
  <c r="D10" i="4"/>
  <c r="K8" i="4"/>
  <c r="D8" i="4"/>
  <c r="K6" i="4"/>
  <c r="C6" i="4"/>
  <c r="K5" i="4"/>
  <c r="C5" i="4"/>
  <c r="H96" i="3"/>
  <c r="H95" i="3"/>
  <c r="F90" i="3"/>
  <c r="D78" i="3"/>
  <c r="E78" i="3" s="1"/>
  <c r="F78" i="3" s="1"/>
  <c r="G78" i="3" s="1"/>
  <c r="H78" i="3" s="1"/>
  <c r="P70" i="3"/>
  <c r="P85" i="3" s="1"/>
  <c r="B68" i="3"/>
  <c r="B67" i="3"/>
  <c r="H66" i="3"/>
  <c r="B66" i="3"/>
  <c r="B65" i="3"/>
  <c r="O60" i="3"/>
  <c r="O68" i="3" s="1"/>
  <c r="N60" i="3"/>
  <c r="N68" i="3" s="1"/>
  <c r="M60" i="3"/>
  <c r="M68" i="3" s="1"/>
  <c r="L60" i="3"/>
  <c r="L68" i="3" s="1"/>
  <c r="K60" i="3"/>
  <c r="K68" i="3" s="1"/>
  <c r="J60" i="3"/>
  <c r="J68" i="3" s="1"/>
  <c r="I60" i="3"/>
  <c r="I68" i="3" s="1"/>
  <c r="H60" i="3"/>
  <c r="H68" i="3" s="1"/>
  <c r="G60" i="3"/>
  <c r="G68" i="3" s="1"/>
  <c r="F60" i="3"/>
  <c r="F68" i="3" s="1"/>
  <c r="E60" i="3"/>
  <c r="E68" i="3" s="1"/>
  <c r="D60" i="3"/>
  <c r="Q58" i="3"/>
  <c r="A58" i="3"/>
  <c r="Q57" i="3"/>
  <c r="A57" i="3"/>
  <c r="Q56" i="3"/>
  <c r="A56" i="3"/>
  <c r="Q55" i="3"/>
  <c r="A55" i="3"/>
  <c r="A54" i="3"/>
  <c r="O50" i="3"/>
  <c r="O67" i="3" s="1"/>
  <c r="N50" i="3"/>
  <c r="N67" i="3" s="1"/>
  <c r="L50" i="3"/>
  <c r="L67" i="3" s="1"/>
  <c r="K50" i="3"/>
  <c r="K67" i="3" s="1"/>
  <c r="J50" i="3"/>
  <c r="J67" i="3" s="1"/>
  <c r="I50" i="3"/>
  <c r="I67" i="3" s="1"/>
  <c r="H50" i="3"/>
  <c r="H67" i="3" s="1"/>
  <c r="G50" i="3"/>
  <c r="G67" i="3" s="1"/>
  <c r="F50" i="3"/>
  <c r="F67" i="3" s="1"/>
  <c r="E50" i="3"/>
  <c r="E67" i="3" s="1"/>
  <c r="D50" i="3"/>
  <c r="D67" i="3" s="1"/>
  <c r="Q48" i="3"/>
  <c r="A48" i="3"/>
  <c r="Q47" i="3"/>
  <c r="A47" i="3"/>
  <c r="A46" i="3"/>
  <c r="A45" i="3"/>
  <c r="A44" i="3"/>
  <c r="O40" i="3"/>
  <c r="O66" i="3" s="1"/>
  <c r="N40" i="3"/>
  <c r="N66" i="3" s="1"/>
  <c r="M40" i="3"/>
  <c r="M66" i="3" s="1"/>
  <c r="L40" i="3"/>
  <c r="L66" i="3" s="1"/>
  <c r="K40" i="3"/>
  <c r="K66" i="3" s="1"/>
  <c r="J40" i="3"/>
  <c r="J66" i="3" s="1"/>
  <c r="I40" i="3"/>
  <c r="I66" i="3" s="1"/>
  <c r="H40" i="3"/>
  <c r="G40" i="3"/>
  <c r="G66" i="3" s="1"/>
  <c r="F40" i="3"/>
  <c r="F66" i="3" s="1"/>
  <c r="Q38" i="3"/>
  <c r="A38" i="3"/>
  <c r="Q37" i="3"/>
  <c r="A37" i="3"/>
  <c r="Q36" i="3"/>
  <c r="A36" i="3"/>
  <c r="A35" i="3"/>
  <c r="A34" i="3"/>
  <c r="R28" i="3"/>
  <c r="Q28" i="3"/>
  <c r="A28" i="3"/>
  <c r="R27" i="3"/>
  <c r="A27" i="3"/>
  <c r="R26" i="3"/>
  <c r="A26" i="3"/>
  <c r="R25" i="3"/>
  <c r="A25" i="3"/>
  <c r="R24" i="3"/>
  <c r="A24" i="3"/>
  <c r="R23" i="3"/>
  <c r="A23" i="3"/>
  <c r="R22" i="3"/>
  <c r="A22" i="3"/>
  <c r="R21" i="3"/>
  <c r="A21" i="3"/>
  <c r="K8" i="3"/>
  <c r="D8" i="3"/>
  <c r="K6" i="3"/>
  <c r="C6" i="3"/>
  <c r="K5" i="3"/>
  <c r="C5" i="3"/>
  <c r="C92" i="2"/>
  <c r="C92" i="5" s="1"/>
  <c r="C91" i="2"/>
  <c r="C91" i="5" s="1"/>
  <c r="C90" i="2"/>
  <c r="C90" i="5" s="1"/>
  <c r="C89" i="2"/>
  <c r="C89" i="5" s="1"/>
  <c r="C88" i="2"/>
  <c r="C88" i="5" s="1"/>
  <c r="M77" i="2"/>
  <c r="N77" i="2" s="1"/>
  <c r="M76" i="2"/>
  <c r="N76" i="2" s="1"/>
  <c r="R58" i="3" s="1"/>
  <c r="M75" i="2"/>
  <c r="N75" i="2" s="1"/>
  <c r="F72" i="5" s="1"/>
  <c r="M74" i="2"/>
  <c r="N74" i="2" s="1"/>
  <c r="R56" i="3" s="1"/>
  <c r="M73" i="2"/>
  <c r="N73" i="2" s="1"/>
  <c r="L65" i="2"/>
  <c r="F63" i="5" s="1"/>
  <c r="I65" i="2"/>
  <c r="L64" i="2"/>
  <c r="F62" i="5" s="1"/>
  <c r="I64" i="2"/>
  <c r="L63" i="2"/>
  <c r="F61" i="5" s="1"/>
  <c r="I63" i="2"/>
  <c r="L62" i="2"/>
  <c r="I62" i="2"/>
  <c r="L61" i="2"/>
  <c r="F59" i="5" s="1"/>
  <c r="I61" i="2"/>
  <c r="L60" i="2"/>
  <c r="F58" i="5" s="1"/>
  <c r="I60" i="2"/>
  <c r="L59" i="2"/>
  <c r="F57" i="5" s="1"/>
  <c r="I59" i="2"/>
  <c r="L58" i="2"/>
  <c r="I58" i="2"/>
  <c r="L51" i="2"/>
  <c r="M51" i="2" s="1"/>
  <c r="N51" i="2" s="1"/>
  <c r="F49" i="5" s="1"/>
  <c r="L50" i="2"/>
  <c r="M50" i="2" s="1"/>
  <c r="N50" i="2" s="1"/>
  <c r="L49" i="2"/>
  <c r="M49" i="2" s="1"/>
  <c r="N49" i="2" s="1"/>
  <c r="L48" i="2"/>
  <c r="M48" i="2" s="1"/>
  <c r="N48" i="2" s="1"/>
  <c r="L40" i="2"/>
  <c r="M40" i="2" s="1"/>
  <c r="N40" i="2" s="1"/>
  <c r="F38" i="5" s="1"/>
  <c r="L39" i="2"/>
  <c r="M39" i="2" s="1"/>
  <c r="N39" i="2" s="1"/>
  <c r="L38" i="2"/>
  <c r="M38" i="2" s="1"/>
  <c r="N38" i="2" s="1"/>
  <c r="L37" i="2"/>
  <c r="M37" i="2" s="1"/>
  <c r="N37" i="2" s="1"/>
  <c r="G31" i="2"/>
  <c r="M11" i="2" s="1"/>
  <c r="L11" i="3" s="1"/>
  <c r="J29" i="2"/>
  <c r="I28" i="5" s="1"/>
  <c r="J28" i="2"/>
  <c r="L28" i="2" s="1"/>
  <c r="M28" i="2" s="1"/>
  <c r="J27" i="2"/>
  <c r="L27" i="2" s="1"/>
  <c r="M27" i="2" s="1"/>
  <c r="J25" i="2"/>
  <c r="L25" i="2" s="1"/>
  <c r="M25" i="2" s="1"/>
  <c r="Q66" i="3" l="1"/>
  <c r="Q35" i="3"/>
  <c r="I78" i="3"/>
  <c r="J78" i="3" s="1"/>
  <c r="K78" i="3" s="1"/>
  <c r="L78" i="3" s="1"/>
  <c r="M78" i="3" s="1"/>
  <c r="N78" i="3" s="1"/>
  <c r="O78" i="3" s="1"/>
  <c r="P78" i="3" s="1"/>
  <c r="M50" i="3"/>
  <c r="M67" i="3" s="1"/>
  <c r="Q45" i="3"/>
  <c r="P87" i="3"/>
  <c r="P88" i="3" s="1"/>
  <c r="Q27" i="3"/>
  <c r="Q26" i="3"/>
  <c r="Q25" i="3"/>
  <c r="Q24" i="3"/>
  <c r="Q23" i="3"/>
  <c r="Q21" i="3"/>
  <c r="N64" i="2"/>
  <c r="G62" i="5" s="1"/>
  <c r="J27" i="5"/>
  <c r="M27" i="5"/>
  <c r="J26" i="5"/>
  <c r="M26" i="5" s="1"/>
  <c r="J25" i="5"/>
  <c r="M25" i="5" s="1"/>
  <c r="J24" i="5"/>
  <c r="M24" i="5" s="1"/>
  <c r="J23" i="5"/>
  <c r="M23" i="5" s="1"/>
  <c r="J22" i="5"/>
  <c r="M22" i="5" s="1"/>
  <c r="K30" i="5"/>
  <c r="J21" i="5"/>
  <c r="M21" i="5" s="1"/>
  <c r="F3" i="1"/>
  <c r="N17" i="2" s="1"/>
  <c r="F30" i="5"/>
  <c r="K73" i="5"/>
  <c r="N60" i="2"/>
  <c r="G58" i="5" s="1"/>
  <c r="F47" i="5"/>
  <c r="R46" i="3"/>
  <c r="I26" i="5"/>
  <c r="N27" i="2"/>
  <c r="G26" i="5" s="1"/>
  <c r="F46" i="5"/>
  <c r="N53" i="2"/>
  <c r="R45" i="3"/>
  <c r="I24" i="5"/>
  <c r="N25" i="2"/>
  <c r="G24" i="5" s="1"/>
  <c r="F35" i="5"/>
  <c r="N42" i="2"/>
  <c r="R35" i="3"/>
  <c r="I22" i="5"/>
  <c r="N23" i="2"/>
  <c r="G22" i="5" s="1"/>
  <c r="F37" i="5"/>
  <c r="R37" i="3"/>
  <c r="I23" i="5"/>
  <c r="N24" i="2"/>
  <c r="G23" i="5" s="1"/>
  <c r="I27" i="5"/>
  <c r="N28" i="2"/>
  <c r="G27" i="5" s="1"/>
  <c r="M38" i="5"/>
  <c r="K38" i="5"/>
  <c r="J38" i="5"/>
  <c r="K49" i="5"/>
  <c r="J49" i="5"/>
  <c r="F60" i="5"/>
  <c r="N62" i="2"/>
  <c r="G60" i="5" s="1"/>
  <c r="Q67" i="3"/>
  <c r="K65" i="3"/>
  <c r="K70" i="3" s="1"/>
  <c r="K85" i="3" s="1"/>
  <c r="K87" i="3" s="1"/>
  <c r="M49" i="5"/>
  <c r="K72" i="5"/>
  <c r="J72" i="5"/>
  <c r="M72" i="5" s="1"/>
  <c r="L29" i="2"/>
  <c r="M29" i="2" s="1"/>
  <c r="N29" i="2" s="1"/>
  <c r="G28" i="5" s="1"/>
  <c r="L28" i="5" s="1"/>
  <c r="F48" i="5"/>
  <c r="R47" i="3"/>
  <c r="F56" i="5"/>
  <c r="N58" i="2"/>
  <c r="K61" i="5"/>
  <c r="J61" i="5"/>
  <c r="M61" i="5"/>
  <c r="I61" i="5"/>
  <c r="F70" i="5"/>
  <c r="R55" i="3"/>
  <c r="N79" i="2"/>
  <c r="F71" i="5"/>
  <c r="I21" i="5"/>
  <c r="N65" i="3"/>
  <c r="N70" i="3" s="1"/>
  <c r="N85" i="3" s="1"/>
  <c r="N87" i="3" s="1"/>
  <c r="J65" i="3"/>
  <c r="J70" i="3" s="1"/>
  <c r="J85" i="3" s="1"/>
  <c r="J87" i="3" s="1"/>
  <c r="I30" i="3"/>
  <c r="N22" i="2"/>
  <c r="R65" i="3"/>
  <c r="M65" i="3"/>
  <c r="M70" i="3" s="1"/>
  <c r="M85" i="3" s="1"/>
  <c r="M87" i="3" s="1"/>
  <c r="L30" i="3"/>
  <c r="I25" i="5"/>
  <c r="N26" i="2"/>
  <c r="G25" i="5" s="1"/>
  <c r="K57" i="5"/>
  <c r="J57" i="5"/>
  <c r="M57" i="5" s="1"/>
  <c r="I57" i="5"/>
  <c r="N59" i="2"/>
  <c r="G57" i="5" s="1"/>
  <c r="K30" i="3"/>
  <c r="D65" i="3"/>
  <c r="K11" i="5"/>
  <c r="L11" i="4"/>
  <c r="F36" i="5"/>
  <c r="R36" i="3"/>
  <c r="N63" i="2"/>
  <c r="G61" i="5" s="1"/>
  <c r="G30" i="3"/>
  <c r="O30" i="3"/>
  <c r="R38" i="3"/>
  <c r="R48" i="3"/>
  <c r="R57" i="3"/>
  <c r="D68" i="3"/>
  <c r="Q68" i="3" s="1"/>
  <c r="P60" i="3"/>
  <c r="Q60" i="3" s="1"/>
  <c r="H93" i="5"/>
  <c r="L9" i="5"/>
  <c r="K59" i="5"/>
  <c r="J59" i="5"/>
  <c r="M59" i="5" s="1"/>
  <c r="I59" i="5"/>
  <c r="K63" i="5"/>
  <c r="J63" i="5"/>
  <c r="M63" i="5"/>
  <c r="I63" i="5"/>
  <c r="Q50" i="3"/>
  <c r="L63" i="5"/>
  <c r="K58" i="5"/>
  <c r="J58" i="5"/>
  <c r="M58" i="5" s="1"/>
  <c r="I58" i="5"/>
  <c r="L58" i="5" s="1"/>
  <c r="N61" i="2"/>
  <c r="G59" i="5" s="1"/>
  <c r="K62" i="5"/>
  <c r="J62" i="5"/>
  <c r="M62" i="5"/>
  <c r="I62" i="5"/>
  <c r="N65" i="2"/>
  <c r="G63" i="5" s="1"/>
  <c r="M73" i="5"/>
  <c r="L62" i="5" l="1"/>
  <c r="L57" i="5"/>
  <c r="L61" i="5"/>
  <c r="L59" i="5"/>
  <c r="I65" i="3"/>
  <c r="I70" i="3" s="1"/>
  <c r="I85" i="3" s="1"/>
  <c r="I87" i="3" s="1"/>
  <c r="N30" i="3"/>
  <c r="H65" i="3"/>
  <c r="H70" i="3" s="1"/>
  <c r="H85" i="3" s="1"/>
  <c r="H87" i="3" s="1"/>
  <c r="D30" i="3"/>
  <c r="L65" i="3"/>
  <c r="L70" i="3" s="1"/>
  <c r="L85" i="3" s="1"/>
  <c r="L87" i="3" s="1"/>
  <c r="J30" i="3"/>
  <c r="H30" i="3"/>
  <c r="E30" i="3"/>
  <c r="G65" i="3"/>
  <c r="G70" i="3" s="1"/>
  <c r="G85" i="3" s="1"/>
  <c r="G87" i="3" s="1"/>
  <c r="P30" i="3"/>
  <c r="P40" i="3" s="1"/>
  <c r="Q40" i="3" s="1"/>
  <c r="M30" i="3"/>
  <c r="F30" i="3"/>
  <c r="E65" i="3"/>
  <c r="E70" i="3" s="1"/>
  <c r="E85" i="3" s="1"/>
  <c r="E87" i="3" s="1"/>
  <c r="F65" i="3"/>
  <c r="F70" i="3" s="1"/>
  <c r="F85" i="3" s="1"/>
  <c r="F87" i="3" s="1"/>
  <c r="L27" i="5"/>
  <c r="L26" i="5"/>
  <c r="L24" i="5"/>
  <c r="R60" i="3"/>
  <c r="J30" i="5"/>
  <c r="M30" i="5" s="1"/>
  <c r="K89" i="2"/>
  <c r="R66" i="3"/>
  <c r="L25" i="5"/>
  <c r="K35" i="5"/>
  <c r="J35" i="5"/>
  <c r="M35" i="5"/>
  <c r="F40" i="5"/>
  <c r="J36" i="5"/>
  <c r="M36" i="5"/>
  <c r="K36" i="5"/>
  <c r="I30" i="5"/>
  <c r="H88" i="5" s="1"/>
  <c r="F75" i="5"/>
  <c r="K70" i="5"/>
  <c r="J70" i="5"/>
  <c r="M70" i="5" s="1"/>
  <c r="M48" i="5"/>
  <c r="K48" i="5"/>
  <c r="J48" i="5"/>
  <c r="L23" i="5"/>
  <c r="L22" i="5"/>
  <c r="J46" i="5"/>
  <c r="F51" i="5"/>
  <c r="M46" i="5"/>
  <c r="K46" i="5"/>
  <c r="K47" i="5"/>
  <c r="J47" i="5"/>
  <c r="M47" i="5" s="1"/>
  <c r="K71" i="5"/>
  <c r="J71" i="5"/>
  <c r="M71" i="5" s="1"/>
  <c r="K92" i="2"/>
  <c r="R68" i="3"/>
  <c r="K56" i="5"/>
  <c r="F65" i="5"/>
  <c r="J56" i="5"/>
  <c r="M56" i="5" s="1"/>
  <c r="I56" i="5"/>
  <c r="M37" i="5"/>
  <c r="K37" i="5"/>
  <c r="J37" i="5"/>
  <c r="R50" i="3"/>
  <c r="K60" i="5"/>
  <c r="J60" i="5"/>
  <c r="M60" i="5" s="1"/>
  <c r="I60" i="5"/>
  <c r="L60" i="5" s="1"/>
  <c r="R67" i="3"/>
  <c r="K90" i="2"/>
  <c r="D70" i="3"/>
  <c r="G21" i="5"/>
  <c r="G30" i="5" s="1"/>
  <c r="F88" i="5" s="1"/>
  <c r="N31" i="2"/>
  <c r="G56" i="5"/>
  <c r="G65" i="5" s="1"/>
  <c r="F91" i="5" s="1"/>
  <c r="N67" i="2"/>
  <c r="K91" i="2" s="1"/>
  <c r="R40" i="3"/>
  <c r="O65" i="3"/>
  <c r="O70" i="3" s="1"/>
  <c r="O85" i="3" s="1"/>
  <c r="O87" i="3" s="1"/>
  <c r="R70" i="3" l="1"/>
  <c r="L56" i="5"/>
  <c r="L65" i="5" s="1"/>
  <c r="K51" i="5"/>
  <c r="Q30" i="3"/>
  <c r="L21" i="5"/>
  <c r="L30" i="5" s="1"/>
  <c r="K88" i="5" s="1"/>
  <c r="K65" i="5"/>
  <c r="I65" i="5"/>
  <c r="H91" i="5" s="1"/>
  <c r="L10" i="5" s="1"/>
  <c r="L12" i="5" s="1"/>
  <c r="J88" i="5"/>
  <c r="M88" i="5" s="1"/>
  <c r="N81" i="2"/>
  <c r="K10" i="5" s="1"/>
  <c r="J51" i="5"/>
  <c r="M51" i="5" s="1"/>
  <c r="F90" i="5"/>
  <c r="K75" i="5"/>
  <c r="D85" i="3"/>
  <c r="D71" i="3"/>
  <c r="E71" i="3" s="1"/>
  <c r="F71" i="3" s="1"/>
  <c r="G71" i="3" s="1"/>
  <c r="H71" i="3" s="1"/>
  <c r="I71" i="3" s="1"/>
  <c r="J71" i="3" s="1"/>
  <c r="K71" i="3" s="1"/>
  <c r="L71" i="3" s="1"/>
  <c r="M71" i="3" s="1"/>
  <c r="N71" i="3" s="1"/>
  <c r="O71" i="3" s="1"/>
  <c r="P71" i="3" s="1"/>
  <c r="J65" i="5"/>
  <c r="M65" i="5" s="1"/>
  <c r="M92" i="2"/>
  <c r="N92" i="2" s="1"/>
  <c r="F92" i="5"/>
  <c r="J75" i="5"/>
  <c r="M75" i="5" s="1"/>
  <c r="F89" i="5"/>
  <c r="J40" i="5"/>
  <c r="M40" i="5"/>
  <c r="K88" i="2"/>
  <c r="R30" i="3"/>
  <c r="M90" i="2"/>
  <c r="N90" i="2" s="1"/>
  <c r="M91" i="2"/>
  <c r="N91" i="2" s="1"/>
  <c r="Q65" i="3"/>
  <c r="Q70" i="3" s="1"/>
  <c r="K40" i="5"/>
  <c r="M89" i="2"/>
  <c r="N89" i="2" s="1"/>
  <c r="J91" i="5" l="1"/>
  <c r="M91" i="5" s="1"/>
  <c r="J92" i="5"/>
  <c r="M92" i="5" s="1"/>
  <c r="K92" i="5"/>
  <c r="J90" i="5"/>
  <c r="M90" i="5" s="1"/>
  <c r="K90" i="5"/>
  <c r="M88" i="2"/>
  <c r="M94" i="2" s="1"/>
  <c r="R85" i="3" s="1"/>
  <c r="Q85" i="3"/>
  <c r="D87" i="3"/>
  <c r="D88" i="3" s="1"/>
  <c r="E88" i="3" s="1"/>
  <c r="F88" i="3" s="1"/>
  <c r="G88" i="3" s="1"/>
  <c r="H88" i="3" s="1"/>
  <c r="I88" i="3" s="1"/>
  <c r="J88" i="3" s="1"/>
  <c r="K88" i="3" s="1"/>
  <c r="L88" i="3" s="1"/>
  <c r="M88" i="3" s="1"/>
  <c r="N88" i="3" s="1"/>
  <c r="O88" i="3" s="1"/>
  <c r="D86" i="3"/>
  <c r="E86" i="3" s="1"/>
  <c r="F86" i="3" s="1"/>
  <c r="G86" i="3" s="1"/>
  <c r="H86" i="3" s="1"/>
  <c r="I86" i="3" s="1"/>
  <c r="J86" i="3" s="1"/>
  <c r="K86" i="3" s="1"/>
  <c r="L86" i="3" s="1"/>
  <c r="M86" i="3" s="1"/>
  <c r="N86" i="3" s="1"/>
  <c r="O86" i="3" s="1"/>
  <c r="P86" i="3" s="1"/>
  <c r="M89" i="5"/>
  <c r="J89" i="5"/>
  <c r="K89" i="5"/>
  <c r="K91" i="5"/>
  <c r="H94" i="5"/>
  <c r="K94" i="5" l="1"/>
  <c r="N88" i="2"/>
  <c r="N94" i="2" s="1"/>
  <c r="F80" i="5" l="1"/>
  <c r="L98" i="2"/>
  <c r="N98" i="2" s="1"/>
  <c r="M12" i="2"/>
  <c r="R77" i="3"/>
  <c r="M10" i="2"/>
  <c r="L12" i="4" l="1"/>
  <c r="K12" i="5"/>
  <c r="L12" i="3"/>
  <c r="K9" i="5"/>
  <c r="L10" i="4"/>
  <c r="L10" i="3"/>
  <c r="F82" i="5"/>
  <c r="K80" i="5"/>
  <c r="K82" i="5" s="1"/>
  <c r="K93" i="5" s="1"/>
  <c r="J80" i="5"/>
  <c r="M80" i="5" s="1"/>
  <c r="F93" i="5" l="1"/>
  <c r="J82" i="5"/>
  <c r="M82" i="5" s="1"/>
  <c r="M93" i="5" s="1"/>
  <c r="F94" i="5" l="1"/>
  <c r="J93" i="5"/>
  <c r="J94" i="5" l="1"/>
  <c r="M94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21" authorId="0" shapeId="0" xr:uid="{00000000-0006-0000-0100-000001000000}">
      <text>
        <r>
          <rPr>
            <sz val="11"/>
            <color rgb="FF000000"/>
            <rFont val="Calibri"/>
            <family val="2"/>
            <charset val="1"/>
          </rPr>
          <t xml:space="preserve">Precio directo del coste hora.
</t>
        </r>
      </text>
    </comment>
    <comment ref="C44" authorId="0" shapeId="0" xr:uid="{00000000-0006-0000-0100-000002000000}">
      <text>
        <r>
          <rPr>
            <sz val="11"/>
            <color rgb="FF000000"/>
            <rFont val="Calibri"/>
            <family val="2"/>
            <charset val="1"/>
          </rPr>
          <t xml:space="preserve">Hace referencia a equipo que se compra para el cliente y que se tiene que entregar al finalizar el proyecto
</t>
        </r>
      </text>
    </comment>
    <comment ref="C55" authorId="0" shapeId="0" xr:uid="{00000000-0006-0000-0100-000003000000}">
      <text>
        <r>
          <rPr>
            <sz val="11"/>
            <color rgb="FF000000"/>
            <rFont val="Calibri"/>
            <family val="2"/>
            <charset val="1"/>
          </rPr>
          <t>Hace referencia a la amortización del equipo propio que se dispone y que se utiliza para la realización del proyecto.</t>
        </r>
      </text>
    </comment>
    <comment ref="F57" authorId="0" shapeId="0" xr:uid="{00000000-0006-0000-0100-000004000000}">
      <text>
        <r>
          <rPr>
            <sz val="11"/>
            <color rgb="FF000000"/>
            <rFont val="Calibri"/>
            <family val="2"/>
            <charset val="1"/>
          </rPr>
          <t xml:space="preserve">Fecha compra del HW o SW a amortizar
</t>
        </r>
      </text>
    </comment>
    <comment ref="G57" authorId="0" shapeId="0" xr:uid="{00000000-0006-0000-0100-000005000000}">
      <text>
        <r>
          <rPr>
            <sz val="11"/>
            <color rgb="FF000000"/>
            <rFont val="Calibri"/>
            <family val="2"/>
            <charset val="1"/>
          </rPr>
          <t xml:space="preserve">Fecha de fin de la amortización (1er día fuera de la amortización).
Depende del tipo de elemento, normalmente PCs = 3 años, Servidores = 5 Años y SW = 4 años.
</t>
        </r>
      </text>
    </comment>
    <comment ref="J57" authorId="0" shapeId="0" xr:uid="{00000000-0006-0000-0100-000006000000}">
      <text>
        <r>
          <rPr>
            <sz val="11"/>
            <color rgb="FF000000"/>
            <rFont val="Calibri"/>
            <family val="2"/>
            <charset val="1"/>
          </rPr>
          <t xml:space="preserve">Fecha en la que comienza a utilizarse el elemento. 
</t>
        </r>
      </text>
    </comment>
    <comment ref="K57" authorId="0" shapeId="0" xr:uid="{00000000-0006-0000-0100-000007000000}">
      <text>
        <r>
          <rPr>
            <sz val="11"/>
            <color rgb="FF000000"/>
            <rFont val="Calibri"/>
            <family val="2"/>
            <charset val="1"/>
          </rPr>
          <t xml:space="preserve">Fecha de fin de uso (1er día fuera del uso).
</t>
        </r>
      </text>
    </comment>
    <comment ref="L57" authorId="0" shapeId="0" xr:uid="{00000000-0006-0000-0100-000008000000}">
      <text>
        <r>
          <rPr>
            <sz val="11"/>
            <color rgb="FF000000"/>
            <rFont val="Calibri"/>
            <family val="2"/>
            <charset val="1"/>
          </rPr>
          <t xml:space="preserve">Numero de días que se va a usar el elemento en el proyecto.
</t>
        </r>
      </text>
    </comment>
    <comment ref="M57" authorId="0" shapeId="0" xr:uid="{00000000-0006-0000-0100-000009000000}">
      <text>
        <r>
          <rPr>
            <sz val="11"/>
            <color rgb="FF000000"/>
            <rFont val="Calibri"/>
            <family val="2"/>
            <charset val="1"/>
          </rPr>
          <t>Indica, cuando se usa, el % de uso diario, es decir, si se utiliza en en exclusiva en el proyecto.</t>
        </r>
      </text>
    </comment>
  </commentList>
</comments>
</file>

<file path=xl/sharedStrings.xml><?xml version="1.0" encoding="utf-8"?>
<sst xmlns="http://schemas.openxmlformats.org/spreadsheetml/2006/main" count="446" uniqueCount="202">
  <si>
    <t>HOJA DE ESTIMACIÓN DEL OVERHEAD DE LA EMPRESA</t>
  </si>
  <si>
    <t>PORCENTAJE DE COSTES INDIRECTOS (OVERHEAD)</t>
  </si>
  <si>
    <t>GASTOS DIRECTOS</t>
  </si>
  <si>
    <t>GASTOS INDIRECTOS</t>
  </si>
  <si>
    <t>CONCEPTO</t>
  </si>
  <si>
    <t>IMPORTE ANUAL</t>
  </si>
  <si>
    <t>TOTAL</t>
  </si>
  <si>
    <t>HOJA DE ESTIMACIÓN ECONÓMICA DE PROYECTO</t>
  </si>
  <si>
    <t>DATOS DEL PROYECTO</t>
  </si>
  <si>
    <t>TITULO:</t>
  </si>
  <si>
    <t>REFERENCIA:</t>
  </si>
  <si>
    <t>CLIENTE:</t>
  </si>
  <si>
    <t>RESPONSABLE:</t>
  </si>
  <si>
    <t>FECHA INICIO:</t>
  </si>
  <si>
    <t>FECHA FIN:</t>
  </si>
  <si>
    <t>PRECIO VENTA (SIN IVA):</t>
  </si>
  <si>
    <t>Euros</t>
  </si>
  <si>
    <t>ESFUERZO (TRABAJO):</t>
  </si>
  <si>
    <t>Horas</t>
  </si>
  <si>
    <t>MARGEN BENEFICIOS:</t>
  </si>
  <si>
    <t>%</t>
  </si>
  <si>
    <t>1. ESTIMACIÓN DE COSTES Y GASTOS</t>
  </si>
  <si>
    <t>1.A</t>
  </si>
  <si>
    <t>PERSONAL</t>
  </si>
  <si>
    <t>COTIZACIÓN SEGURIDAD SOCIAL</t>
  </si>
  <si>
    <t>PORCENTAJE CONTINGENCIAS PARA PERSONAL</t>
  </si>
  <si>
    <t>HORAS TR.</t>
  </si>
  <si>
    <t>Coste Bruto / Hora</t>
  </si>
  <si>
    <t>Coste SS / Hora</t>
  </si>
  <si>
    <t>Contingen./H</t>
  </si>
  <si>
    <t>Total / Hora</t>
  </si>
  <si>
    <t>COSTE FINAL</t>
  </si>
  <si>
    <t>Analista</t>
  </si>
  <si>
    <t>Diseñador Gráfico Aplicativos</t>
  </si>
  <si>
    <t>Jefe de Proyecto</t>
  </si>
  <si>
    <t>Programador</t>
  </si>
  <si>
    <t>Supervisor calidad aplicativos</t>
  </si>
  <si>
    <t>Técnico de bases de datos</t>
  </si>
  <si>
    <t>Técnico de sistemas</t>
  </si>
  <si>
    <t>[Insertar más líneas aquí]</t>
  </si>
  <si>
    <t>HORAS TOTALES</t>
  </si>
  <si>
    <t>SUBTOTAL PERSONAL</t>
  </si>
  <si>
    <t>1.B</t>
  </si>
  <si>
    <t>SUBCONTRATACIONES</t>
  </si>
  <si>
    <t>PORCENTAJE CONTINGENCIAS PARA SUBCONTRATACION</t>
  </si>
  <si>
    <t>EMPRESA</t>
  </si>
  <si>
    <t>DESCRIPCIÓN</t>
  </si>
  <si>
    <t>UNIDADES</t>
  </si>
  <si>
    <t>COSTE/U</t>
  </si>
  <si>
    <t>CONTING.</t>
  </si>
  <si>
    <t>TOTAL/U</t>
  </si>
  <si>
    <t>SUBTOTAL SUBCONTRATACIÓN</t>
  </si>
  <si>
    <t xml:space="preserve">1.C </t>
  </si>
  <si>
    <t>EQUIPAMIENTO</t>
  </si>
  <si>
    <t>PORCENTAJE  CONTINGENCIAS PARA EQUIPAMIENTO</t>
  </si>
  <si>
    <t>EQUIPO</t>
  </si>
  <si>
    <t>DESCRIPCIÓN (opcional)</t>
  </si>
  <si>
    <t>SUBTOTAL EQUIPAMIENTO</t>
  </si>
  <si>
    <t>1.D</t>
  </si>
  <si>
    <t>AMORTIZACION HW/SW</t>
  </si>
  <si>
    <t>REFERENCIA</t>
  </si>
  <si>
    <t>TIPO</t>
  </si>
  <si>
    <t>PRECIO/UD</t>
  </si>
  <si>
    <t>F. COMPRA</t>
  </si>
  <si>
    <t>FIN AMOR</t>
  </si>
  <si>
    <t>COST Ud/D</t>
  </si>
  <si>
    <t>F. INI USO</t>
  </si>
  <si>
    <t>F. FIN USO</t>
  </si>
  <si>
    <t>DIAS USO</t>
  </si>
  <si>
    <t>% USO</t>
  </si>
  <si>
    <t>[Insertar]</t>
  </si>
  <si>
    <t>SUBTOTAL AMORTIZACIÓN</t>
  </si>
  <si>
    <t>1.E</t>
  </si>
  <si>
    <t>OTROS GASTOS</t>
  </si>
  <si>
    <t>PORCENTAJE DE CONTINGENCIAS OTROS GASTOS</t>
  </si>
  <si>
    <t>DESCRIPCIÓN DEL GASTO</t>
  </si>
  <si>
    <t>COSTE / Ud.</t>
  </si>
  <si>
    <t>TOTAL COSTES</t>
  </si>
  <si>
    <t>2. PRECIO DE VENTA</t>
  </si>
  <si>
    <t>2.A</t>
  </si>
  <si>
    <t>MARGEN DE BENEFICIOS POR CONCEPTOS</t>
  </si>
  <si>
    <t>GASTOS</t>
  </si>
  <si>
    <t>% MARGEN</t>
  </si>
  <si>
    <t>BENEFICIO</t>
  </si>
  <si>
    <t>PORCENTAJE MARGEN PROYECTO  Y PRECIO FINAL (IVA no incluido)</t>
  </si>
  <si>
    <t>2.B</t>
  </si>
  <si>
    <t>PRECIO DE VENTA</t>
  </si>
  <si>
    <t>PRECIO DE VENTA (IVA incluido)</t>
  </si>
  <si>
    <t>IVA</t>
  </si>
  <si>
    <t>PLAN FINANCIERO DEL PROYECTO</t>
  </si>
  <si>
    <t>FECHA INFORME :</t>
  </si>
  <si>
    <t>ESFUERZO:</t>
  </si>
  <si>
    <t>TIPO INTERES ANUAL :</t>
  </si>
  <si>
    <t>COSTE DE OPORTUNIDAD ANUAL :</t>
  </si>
  <si>
    <t>1. PROYECCION TEMPORAL DE COSTES Y GASTOS :</t>
  </si>
  <si>
    <t>DISTRIBUCION HORAS DE TRABAJO</t>
  </si>
  <si>
    <t>TOTAL PREVISTO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</si>
  <si>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</si>
  <si>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</si>
  <si>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</si>
  <si>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</si>
  <si>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</si>
  <si>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</si>
  <si>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</si>
  <si>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</si>
  <si>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</si>
  <si>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</si>
  <si>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</si>
  <si>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</si>
  <si>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&lt;INSER&gt;</t>
  </si>
  <si>
    <t>PLAN_F</t>
  </si>
  <si>
    <t>ESTIMADO</t>
  </si>
  <si>
    <t>COSTE PERSONAL</t>
  </si>
  <si>
    <t>COSTE SUBCONTRATACION</t>
  </si>
  <si>
    <t>COSTE EQUIPAMIENTO</t>
  </si>
  <si>
    <t>RESUMEN DE PREVISION DE GASTOS, COSTES</t>
  </si>
  <si>
    <t>COSTE ACUMULADO</t>
  </si>
  <si>
    <t>2. INGRESOS</t>
  </si>
  <si>
    <t>PREVISION DE GASTOS, COSTES E INGRESOS</t>
  </si>
  <si>
    <t>INGRESOS</t>
  </si>
  <si>
    <t>INGRESOS ACUMULADO</t>
  </si>
  <si>
    <t>3. RESULTADOS</t>
  </si>
  <si>
    <t>MESES</t>
  </si>
  <si>
    <t>BENEFICIO CONTABLE</t>
  </si>
  <si>
    <t>MARGEN ACUMULADO</t>
  </si>
  <si>
    <t>VAN</t>
  </si>
  <si>
    <t>VAN ACUMULADO</t>
  </si>
  <si>
    <t>TASA MENSUAL COSTE OPORTUNIDAD</t>
  </si>
  <si>
    <t>Conversión de la tasa anual a tasa mensual:</t>
  </si>
  <si>
    <t>IPV=(1+%)Elevado(30/360) - 1</t>
  </si>
  <si>
    <t>Tasa anual</t>
  </si>
  <si>
    <t>Tasa mensual</t>
  </si>
  <si>
    <t>INDICADORES ECONÓMICOS Y FINANCIEROS DEL PROYECTO</t>
  </si>
  <si>
    <t>DURACIÓN (MESES):</t>
  </si>
  <si>
    <t xml:space="preserve"> 1. PREVISIÓN DE CARGA DE TRABAJO (Histograma de recursos)</t>
  </si>
  <si>
    <t>2. PREVISIÓN DE LA EVOLUCIÓN DE LOS DATOS ECONÓMICO-FINANCIEROS</t>
  </si>
  <si>
    <t>HOJA DE CIERRE ECONÓMICO DEL PROYECTO</t>
  </si>
  <si>
    <t>PREVISTO</t>
  </si>
  <si>
    <t>REAL</t>
  </si>
  <si>
    <t>COSTE:</t>
  </si>
  <si>
    <t>mes/año</t>
  </si>
  <si>
    <t>TOTAL FINAL</t>
  </si>
  <si>
    <t>DESVIACIÓN</t>
  </si>
  <si>
    <t>COSTE</t>
  </si>
  <si>
    <t>SUBTOTAL</t>
  </si>
  <si>
    <t>ELEMENTO HW/SW</t>
  </si>
  <si>
    <t>DIAS</t>
  </si>
  <si>
    <t>2</t>
  </si>
  <si>
    <t>ESTIMACION</t>
  </si>
  <si>
    <t>REALIZADO</t>
  </si>
  <si>
    <t>FACTURACIÓN</t>
  </si>
  <si>
    <t>PRECIO</t>
  </si>
  <si>
    <t>VENTA</t>
  </si>
  <si>
    <t>2. BALANCE FINAL DEL PROYECTO</t>
  </si>
  <si>
    <t xml:space="preserve">CONTINGENCIA </t>
  </si>
  <si>
    <t>BENEFICIOS</t>
  </si>
  <si>
    <t>3. INDICADORES ECONOMICOS, FINANCIEROS Y DE OCUPACION</t>
  </si>
  <si>
    <t>3.A</t>
  </si>
  <si>
    <t>CONSUMO Y REMANENTE DE RECURSOS SEGÚN TIPO</t>
  </si>
  <si>
    <t>Jefe de proyecto</t>
  </si>
  <si>
    <t>Técnico de datos</t>
  </si>
  <si>
    <t>Diseñador gráfico</t>
  </si>
  <si>
    <t>Comercial</t>
  </si>
  <si>
    <t>Gerente</t>
  </si>
  <si>
    <t>Administrativo</t>
  </si>
  <si>
    <t>Personal de mantenimiento</t>
  </si>
  <si>
    <t>Supervisor</t>
  </si>
  <si>
    <t>Alquiler locales</t>
  </si>
  <si>
    <t>Seguros responsabilidad</t>
  </si>
  <si>
    <t>Seguridad</t>
  </si>
  <si>
    <t>Limpieza</t>
  </si>
  <si>
    <t>Luz</t>
  </si>
  <si>
    <t>Agua</t>
  </si>
  <si>
    <t>Papelería</t>
  </si>
  <si>
    <t>Publicidad</t>
  </si>
  <si>
    <t>Impuestos</t>
  </si>
  <si>
    <t>Seguridad social</t>
  </si>
  <si>
    <t>DESARROLLO DE UN PORTAL WEB</t>
  </si>
  <si>
    <t>DES-01-2022</t>
  </si>
  <si>
    <t>MEDIOLADO</t>
  </si>
  <si>
    <t>PABLO Y CAMILO</t>
  </si>
  <si>
    <t>HW-SERV</t>
  </si>
  <si>
    <t>SW-SERV</t>
  </si>
  <si>
    <t>Tipo hardware, IBM</t>
  </si>
  <si>
    <t>Tipo software, redhat</t>
  </si>
  <si>
    <t>DES1</t>
  </si>
  <si>
    <t>DES2</t>
  </si>
  <si>
    <t>SERV1</t>
  </si>
  <si>
    <t>TAB1</t>
  </si>
  <si>
    <t>MIND445</t>
  </si>
  <si>
    <t>DWCS6</t>
  </si>
  <si>
    <t>MVS2010</t>
  </si>
  <si>
    <t>PC</t>
  </si>
  <si>
    <t>SERVIDOR</t>
  </si>
  <si>
    <t>TABLET</t>
  </si>
  <si>
    <t>SW</t>
  </si>
  <si>
    <t>MATERIAL FUNGIBLE</t>
  </si>
  <si>
    <t>VIAJES</t>
  </si>
  <si>
    <t>MATERIAL FUNGIBLE RESTO</t>
  </si>
  <si>
    <t>3D Designs S.L</t>
  </si>
  <si>
    <t>Telefónica</t>
  </si>
  <si>
    <t>49€ + 29/mes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</si>
</sst>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#,##0\ &quot;€&quot;;[Red]\-#,##0\ &quot;€&quot;"/>
    <numFmt numFmtId="164" formatCode="_-* #,##0\ _p_t_a_-;\-* #,##0\ _p_t_a_-;_-* &quot;- &quot;_p_t_a_-;_-@_-"/>
    <numFmt numFmtId="165" formatCode="0\ %"/>
    <numFmt numFmtId="166" formatCode="0.00\ %"/>
    <numFmt numFmtId="167" formatCode="_-* #,##0.00&quot; €&quot;_-;\-* #,##0.00&quot; €&quot;_-;_-* \-??&quot; €&quot;_-;_-@_-"/>
    <numFmt numFmtId="168" formatCode="_-* #,##0.00\ [$€-C0A]_-;\-* #,##0.00\ [$€-C0A]_-;_-* \-??\ [$€-C0A]_-;_-@_-"/>
    <numFmt numFmtId="169" formatCode="#,##0.00_ ;\-#,##0.00\ "/>
    <numFmt numFmtId="170" formatCode="#,##0_ ;\-#,##0\ "/>
    <numFmt numFmtId="171" formatCode="_-* #,##0.00\ _€_-;\-* #,##0.00\ _€_-;_-* \-??\ _€_-;_-@_-"/>
    <numFmt numFmtId="172" formatCode="_-* #,##0&quot; €&quot;_-;\-* #,##0&quot; €&quot;_-;_-* \-??&quot; €&quot;_-;_-@_-"/>
    <numFmt numFmtId="173" formatCode="0.0%"/>
    <numFmt numFmtId="174" formatCode="#,##0.00_ ;[Red]\-#,##0.00\ "/>
    <numFmt numFmtId="175" formatCode="0.000%"/>
    <numFmt numFmtId="176" formatCode="[$-C0A]mmm\-yy;@"/>
    <numFmt numFmtId="177" formatCode="[$-C0A]d\-mmm;@"/>
    <numFmt numFmtId="178" formatCode="#,##0_ ;[Red]\-#,##0\ "/>
    <numFmt numFmtId="179" formatCode="#,##0.00\ [$€-C0A];[Red]\-#,##0.00\ [$€-C0A]"/>
  </numFmts>
  <fonts count="12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6"/>
      <color rgb="FFFFFFFF"/>
      <name val="Calibri"/>
      <family val="2"/>
      <charset val="1"/>
    </font>
    <font>
      <b/>
      <sz val="11"/>
      <color rgb="FF000000"/>
      <name val="Calibri"/>
      <family val="2"/>
      <charset val="1"/>
    </font>
    <font>
      <i/>
      <sz val="11"/>
      <color rgb="FF000000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1"/>
      <color rgb="FF4F6228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FFFFFF"/>
      <name val="Calibri"/>
      <family val="2"/>
      <charset val="1"/>
    </font>
    <font>
      <b/>
      <sz val="11"/>
      <name val="Calibri"/>
      <family val="2"/>
      <charset val="1"/>
    </font>
    <font>
      <sz val="11"/>
      <name val="Calibri"/>
      <family val="2"/>
      <charset val="1"/>
    </font>
    <font>
      <sz val="11"/>
      <color rgb="FF000000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D9D9D9"/>
        <bgColor rgb="FFD7E4BD"/>
      </patternFill>
    </fill>
    <fill>
      <patternFill patternType="solid">
        <fgColor rgb="FFDBEEF4"/>
        <bgColor rgb="FFCCFFFF"/>
      </patternFill>
    </fill>
    <fill>
      <patternFill patternType="solid">
        <fgColor rgb="FF77933C"/>
        <bgColor rgb="FF8AA64F"/>
      </patternFill>
    </fill>
    <fill>
      <patternFill patternType="solid">
        <fgColor rgb="FFD7E4BD"/>
        <bgColor rgb="FFD9D9D9"/>
      </patternFill>
    </fill>
    <fill>
      <patternFill patternType="solid">
        <fgColor rgb="FF1F497D"/>
        <bgColor rgb="FF003366"/>
      </patternFill>
    </fill>
    <fill>
      <patternFill patternType="solid">
        <fgColor rgb="FF953735"/>
        <bgColor rgb="FFAB4744"/>
      </patternFill>
    </fill>
    <fill>
      <patternFill patternType="solid">
        <fgColor rgb="FF4F6228"/>
        <bgColor rgb="FF725990"/>
      </patternFill>
    </fill>
    <fill>
      <patternFill patternType="solid">
        <fgColor rgb="FF95B3D7"/>
        <bgColor rgb="FF93A9CE"/>
      </patternFill>
    </fill>
    <fill>
      <patternFill patternType="solid">
        <fgColor rgb="FFD99694"/>
        <bgColor rgb="FFFF99CC"/>
      </patternFill>
    </fill>
    <fill>
      <patternFill patternType="solid">
        <fgColor rgb="FFC3D69B"/>
        <bgColor rgb="FFD7E4BD"/>
      </patternFill>
    </fill>
    <fill>
      <patternFill patternType="solid">
        <fgColor rgb="FFFFFFFF"/>
        <bgColor rgb="FFFFFFCC"/>
      </patternFill>
    </fill>
  </fills>
  <borders count="66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</borders>
  <cellStyleXfs count="7">
    <xf numFmtId="0" fontId="0" fillId="0" borderId="0"/>
    <xf numFmtId="171" fontId="11" fillId="0" borderId="0" applyBorder="0" applyProtection="0"/>
    <xf numFmtId="167" fontId="11" fillId="0" borderId="0" applyBorder="0" applyProtection="0"/>
    <xf numFmtId="165" fontId="11" fillId="0" borderId="0" applyBorder="0" applyProtection="0"/>
    <xf numFmtId="164" fontId="11" fillId="0" borderId="0" applyBorder="0" applyProtection="0"/>
    <xf numFmtId="0" fontId="1" fillId="0" borderId="0"/>
    <xf numFmtId="165" fontId="11" fillId="0" borderId="0" applyBorder="0" applyProtection="0"/>
  </cellStyleXfs>
  <cellXfs count="316">
    <xf numFmtId="0" fontId="0" fillId="0" borderId="0" xfId="0"/>
    <xf numFmtId="0" fontId="2" fillId="0" borderId="0" xfId="0" applyFont="1" applyAlignment="1"/>
    <xf numFmtId="166" fontId="0" fillId="3" borderId="2" xfId="3" applyNumberFormat="1" applyFont="1" applyFill="1" applyBorder="1" applyAlignment="1" applyProtection="1"/>
    <xf numFmtId="0" fontId="3" fillId="0" borderId="4" xfId="0" applyFont="1" applyBorder="1"/>
    <xf numFmtId="0" fontId="3" fillId="0" borderId="5" xfId="0" applyFont="1" applyBorder="1"/>
    <xf numFmtId="0" fontId="0" fillId="4" borderId="6" xfId="0" applyFill="1" applyBorder="1"/>
    <xf numFmtId="167" fontId="0" fillId="4" borderId="7" xfId="2" applyFont="1" applyFill="1" applyBorder="1" applyAlignment="1" applyProtection="1"/>
    <xf numFmtId="167" fontId="0" fillId="4" borderId="8" xfId="2" applyFont="1" applyFill="1" applyBorder="1" applyAlignment="1" applyProtection="1"/>
    <xf numFmtId="0" fontId="0" fillId="4" borderId="9" xfId="0" applyFill="1" applyBorder="1"/>
    <xf numFmtId="0" fontId="0" fillId="4" borderId="10" xfId="0" applyFill="1" applyBorder="1"/>
    <xf numFmtId="167" fontId="0" fillId="4" borderId="11" xfId="2" applyFont="1" applyFill="1" applyBorder="1" applyAlignment="1" applyProtection="1"/>
    <xf numFmtId="0" fontId="0" fillId="4" borderId="4" xfId="0" applyFill="1" applyBorder="1"/>
    <xf numFmtId="167" fontId="0" fillId="4" borderId="5" xfId="2" applyFont="1" applyFill="1" applyBorder="1" applyAlignment="1" applyProtection="1"/>
    <xf numFmtId="0" fontId="3" fillId="0" borderId="0" xfId="0" applyFont="1" applyAlignment="1">
      <alignment horizontal="right"/>
    </xf>
    <xf numFmtId="167" fontId="3" fillId="0" borderId="12" xfId="2" applyFont="1" applyBorder="1" applyAlignment="1" applyProtection="1"/>
    <xf numFmtId="168" fontId="0" fillId="0" borderId="0" xfId="0" applyNumberFormat="1"/>
    <xf numFmtId="0" fontId="0" fillId="0" borderId="0" xfId="0" applyBorder="1"/>
    <xf numFmtId="166" fontId="0" fillId="0" borderId="0" xfId="3" applyNumberFormat="1" applyFont="1" applyBorder="1" applyAlignment="1" applyProtection="1"/>
    <xf numFmtId="0" fontId="0" fillId="0" borderId="0" xfId="0" applyAlignment="1">
      <alignment horizontal="center"/>
    </xf>
    <xf numFmtId="169" fontId="0" fillId="3" borderId="0" xfId="0" applyNumberFormat="1" applyFill="1"/>
    <xf numFmtId="0" fontId="0" fillId="3" borderId="0" xfId="0" applyFont="1" applyFill="1"/>
    <xf numFmtId="3" fontId="0" fillId="3" borderId="0" xfId="0" applyNumberFormat="1" applyFill="1"/>
    <xf numFmtId="2" fontId="0" fillId="3" borderId="0" xfId="3" applyNumberFormat="1" applyFont="1" applyFill="1" applyBorder="1" applyAlignment="1" applyProtection="1"/>
    <xf numFmtId="0" fontId="3" fillId="0" borderId="0" xfId="0" applyFont="1" applyAlignment="1"/>
    <xf numFmtId="0" fontId="3" fillId="0" borderId="0" xfId="0" applyFont="1" applyBorder="1" applyAlignment="1">
      <alignment horizontal="left"/>
    </xf>
    <xf numFmtId="166" fontId="3" fillId="3" borderId="2" xfId="3" applyNumberFormat="1" applyFont="1" applyFill="1" applyBorder="1" applyAlignment="1" applyProtection="1"/>
    <xf numFmtId="166" fontId="3" fillId="4" borderId="2" xfId="3" applyNumberFormat="1" applyFont="1" applyFill="1" applyBorder="1" applyAlignment="1" applyProtection="1"/>
    <xf numFmtId="0" fontId="3" fillId="3" borderId="2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3" fillId="3" borderId="2" xfId="0" applyFont="1" applyFill="1" applyBorder="1"/>
    <xf numFmtId="0" fontId="3" fillId="3" borderId="2" xfId="0" applyFont="1" applyFill="1" applyBorder="1" applyAlignment="1"/>
    <xf numFmtId="3" fontId="0" fillId="4" borderId="16" xfId="0" applyNumberFormat="1" applyFill="1" applyBorder="1" applyAlignment="1">
      <alignment horizontal="right"/>
    </xf>
    <xf numFmtId="168" fontId="0" fillId="0" borderId="15" xfId="0" applyNumberFormat="1" applyBorder="1" applyAlignment="1"/>
    <xf numFmtId="168" fontId="3" fillId="0" borderId="15" xfId="0" applyNumberFormat="1" applyFont="1" applyBorder="1" applyAlignment="1"/>
    <xf numFmtId="168" fontId="0" fillId="0" borderId="16" xfId="0" applyNumberFormat="1" applyBorder="1" applyAlignment="1">
      <alignment horizontal="center"/>
    </xf>
    <xf numFmtId="168" fontId="0" fillId="0" borderId="16" xfId="0" applyNumberFormat="1" applyBorder="1" applyAlignment="1"/>
    <xf numFmtId="168" fontId="3" fillId="0" borderId="16" xfId="0" applyNumberFormat="1" applyFont="1" applyBorder="1" applyAlignment="1"/>
    <xf numFmtId="0" fontId="0" fillId="4" borderId="17" xfId="0" applyFont="1" applyFill="1" applyBorder="1" applyAlignment="1">
      <alignment horizontal="left"/>
    </xf>
    <xf numFmtId="0" fontId="0" fillId="4" borderId="0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3" fontId="0" fillId="4" borderId="18" xfId="0" applyNumberFormat="1" applyFill="1" applyBorder="1" applyAlignment="1">
      <alignment horizontal="right"/>
    </xf>
    <xf numFmtId="168" fontId="0" fillId="0" borderId="18" xfId="0" applyNumberFormat="1" applyBorder="1" applyAlignment="1">
      <alignment horizontal="center"/>
    </xf>
    <xf numFmtId="168" fontId="0" fillId="0" borderId="18" xfId="0" applyNumberFormat="1" applyBorder="1" applyAlignment="1"/>
    <xf numFmtId="168" fontId="3" fillId="0" borderId="18" xfId="0" applyNumberFormat="1" applyFont="1" applyBorder="1" applyAlignment="1"/>
    <xf numFmtId="3" fontId="5" fillId="2" borderId="2" xfId="0" applyNumberFormat="1" applyFont="1" applyFill="1" applyBorder="1" applyAlignment="1">
      <alignment horizontal="right"/>
    </xf>
    <xf numFmtId="168" fontId="3" fillId="0" borderId="0" xfId="0" applyNumberFormat="1" applyFont="1" applyBorder="1" applyAlignment="1"/>
    <xf numFmtId="168" fontId="5" fillId="2" borderId="19" xfId="0" applyNumberFormat="1" applyFont="1" applyFill="1" applyBorder="1" applyAlignment="1"/>
    <xf numFmtId="0" fontId="3" fillId="0" borderId="0" xfId="0" applyFont="1" applyAlignment="1">
      <alignment horizontal="left"/>
    </xf>
    <xf numFmtId="170" fontId="0" fillId="4" borderId="16" xfId="0" applyNumberFormat="1" applyFill="1" applyBorder="1" applyAlignment="1">
      <alignment horizontal="center"/>
    </xf>
    <xf numFmtId="167" fontId="0" fillId="0" borderId="16" xfId="2" applyFont="1" applyBorder="1" applyAlignment="1" applyProtection="1">
      <alignment horizontal="center"/>
    </xf>
    <xf numFmtId="167" fontId="0" fillId="0" borderId="16" xfId="3" applyNumberFormat="1" applyFont="1" applyBorder="1" applyAlignment="1" applyProtection="1">
      <alignment horizontal="center"/>
    </xf>
    <xf numFmtId="0" fontId="0" fillId="4" borderId="18" xfId="0" applyFill="1" applyBorder="1" applyAlignment="1">
      <alignment horizontal="center"/>
    </xf>
    <xf numFmtId="0" fontId="0" fillId="4" borderId="20" xfId="0" applyFill="1" applyBorder="1"/>
    <xf numFmtId="0" fontId="0" fillId="4" borderId="21" xfId="0" applyFill="1" applyBorder="1"/>
    <xf numFmtId="167" fontId="0" fillId="0" borderId="18" xfId="3" applyNumberFormat="1" applyFont="1" applyBorder="1" applyAlignment="1" applyProtection="1"/>
    <xf numFmtId="1" fontId="3" fillId="0" borderId="0" xfId="3" applyNumberFormat="1" applyFont="1" applyBorder="1" applyAlignment="1" applyProtection="1">
      <alignment horizontal="center"/>
    </xf>
    <xf numFmtId="168" fontId="3" fillId="0" borderId="0" xfId="3" applyNumberFormat="1" applyFont="1" applyBorder="1" applyAlignment="1" applyProtection="1">
      <alignment horizontal="center"/>
    </xf>
    <xf numFmtId="168" fontId="5" fillId="2" borderId="13" xfId="0" applyNumberFormat="1" applyFont="1" applyFill="1" applyBorder="1" applyAlignment="1"/>
    <xf numFmtId="0" fontId="3" fillId="3" borderId="19" xfId="0" applyFont="1" applyFill="1" applyBorder="1" applyAlignment="1"/>
    <xf numFmtId="14" fontId="0" fillId="0" borderId="0" xfId="0" applyNumberFormat="1"/>
    <xf numFmtId="0" fontId="0" fillId="4" borderId="16" xfId="0" applyFill="1" applyBorder="1" applyAlignment="1"/>
    <xf numFmtId="0" fontId="0" fillId="4" borderId="1" xfId="0" applyFill="1" applyBorder="1" applyAlignment="1"/>
    <xf numFmtId="172" fontId="0" fillId="4" borderId="16" xfId="0" applyNumberFormat="1" applyFill="1" applyBorder="1"/>
    <xf numFmtId="14" fontId="0" fillId="4" borderId="16" xfId="0" applyNumberFormat="1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3" fontId="0" fillId="0" borderId="16" xfId="0" applyNumberFormat="1" applyBorder="1" applyAlignment="1">
      <alignment horizontal="center"/>
    </xf>
    <xf numFmtId="165" fontId="0" fillId="4" borderId="16" xfId="0" applyNumberFormat="1" applyFill="1" applyBorder="1" applyAlignment="1">
      <alignment horizontal="center"/>
    </xf>
    <xf numFmtId="0" fontId="4" fillId="0" borderId="18" xfId="0" applyFont="1" applyBorder="1" applyAlignment="1"/>
    <xf numFmtId="0" fontId="4" fillId="0" borderId="21" xfId="0" applyFont="1" applyBorder="1" applyAlignment="1"/>
    <xf numFmtId="168" fontId="0" fillId="4" borderId="18" xfId="0" applyNumberFormat="1" applyFill="1" applyBorder="1"/>
    <xf numFmtId="14" fontId="0" fillId="4" borderId="18" xfId="0" applyNumberFormat="1" applyFill="1" applyBorder="1" applyAlignment="1">
      <alignment horizontal="center"/>
    </xf>
    <xf numFmtId="3" fontId="0" fillId="0" borderId="18" xfId="0" applyNumberFormat="1" applyBorder="1" applyAlignment="1">
      <alignment horizontal="center"/>
    </xf>
    <xf numFmtId="168" fontId="3" fillId="0" borderId="18" xfId="0" applyNumberFormat="1" applyFont="1" applyBorder="1" applyAlignment="1">
      <alignment horizontal="center"/>
    </xf>
    <xf numFmtId="0" fontId="0" fillId="4" borderId="15" xfId="0" applyFill="1" applyBorder="1" applyAlignment="1">
      <alignment horizontal="center"/>
    </xf>
    <xf numFmtId="167" fontId="0" fillId="4" borderId="15" xfId="2" applyFont="1" applyFill="1" applyBorder="1" applyAlignment="1" applyProtection="1"/>
    <xf numFmtId="167" fontId="3" fillId="0" borderId="15" xfId="2" applyFont="1" applyBorder="1" applyAlignment="1" applyProtection="1"/>
    <xf numFmtId="167" fontId="0" fillId="4" borderId="16" xfId="2" applyFont="1" applyFill="1" applyBorder="1" applyAlignment="1" applyProtection="1"/>
    <xf numFmtId="167" fontId="3" fillId="0" borderId="16" xfId="2" applyFont="1" applyBorder="1" applyAlignment="1" applyProtection="1"/>
    <xf numFmtId="167" fontId="0" fillId="4" borderId="18" xfId="2" applyFont="1" applyFill="1" applyBorder="1" applyAlignment="1" applyProtection="1"/>
    <xf numFmtId="167" fontId="0" fillId="0" borderId="18" xfId="3" applyNumberFormat="1" applyFont="1" applyBorder="1" applyAlignment="1" applyProtection="1">
      <alignment horizontal="center"/>
    </xf>
    <xf numFmtId="167" fontId="3" fillId="0" borderId="18" xfId="2" applyFont="1" applyBorder="1" applyAlignment="1" applyProtection="1"/>
    <xf numFmtId="168" fontId="5" fillId="2" borderId="23" xfId="0" applyNumberFormat="1" applyFont="1" applyFill="1" applyBorder="1" applyAlignment="1"/>
    <xf numFmtId="0" fontId="3" fillId="3" borderId="13" xfId="0" applyFont="1" applyFill="1" applyBorder="1" applyAlignment="1"/>
    <xf numFmtId="0" fontId="3" fillId="3" borderId="14" xfId="0" applyFont="1" applyFill="1" applyBorder="1" applyAlignment="1"/>
    <xf numFmtId="0" fontId="3" fillId="3" borderId="13" xfId="0" applyFont="1" applyFill="1" applyBorder="1" applyAlignment="1">
      <alignment horizontal="center"/>
    </xf>
    <xf numFmtId="0" fontId="0" fillId="0" borderId="17" xfId="0" applyBorder="1" applyAlignment="1"/>
    <xf numFmtId="0" fontId="0" fillId="0" borderId="0" xfId="0" applyBorder="1" applyAlignment="1"/>
    <xf numFmtId="168" fontId="0" fillId="0" borderId="24" xfId="0" applyNumberFormat="1" applyBorder="1" applyAlignment="1"/>
    <xf numFmtId="173" fontId="0" fillId="4" borderId="24" xfId="3" applyNumberFormat="1" applyFont="1" applyFill="1" applyBorder="1" applyAlignment="1" applyProtection="1">
      <alignment horizontal="center"/>
    </xf>
    <xf numFmtId="168" fontId="0" fillId="0" borderId="17" xfId="0" applyNumberFormat="1" applyBorder="1" applyAlignment="1"/>
    <xf numFmtId="173" fontId="0" fillId="4" borderId="17" xfId="3" applyNumberFormat="1" applyFont="1" applyFill="1" applyBorder="1" applyAlignment="1" applyProtection="1">
      <alignment horizontal="center"/>
    </xf>
    <xf numFmtId="0" fontId="0" fillId="0" borderId="20" xfId="0" applyBorder="1" applyAlignment="1"/>
    <xf numFmtId="0" fontId="0" fillId="0" borderId="25" xfId="0" applyBorder="1" applyAlignment="1"/>
    <xf numFmtId="168" fontId="0" fillId="0" borderId="20" xfId="0" applyNumberFormat="1" applyBorder="1" applyAlignment="1"/>
    <xf numFmtId="173" fontId="0" fillId="4" borderId="20" xfId="3" applyNumberFormat="1" applyFont="1" applyFill="1" applyBorder="1" applyAlignment="1" applyProtection="1">
      <alignment horizontal="center"/>
    </xf>
    <xf numFmtId="168" fontId="5" fillId="2" borderId="26" xfId="0" applyNumberFormat="1" applyFont="1" applyFill="1" applyBorder="1" applyAlignment="1">
      <alignment horizontal="right"/>
    </xf>
    <xf numFmtId="168" fontId="5" fillId="2" borderId="23" xfId="0" applyNumberFormat="1" applyFont="1" applyFill="1" applyBorder="1" applyAlignment="1">
      <alignment horizontal="right"/>
    </xf>
    <xf numFmtId="0" fontId="5" fillId="2" borderId="27" xfId="0" applyFont="1" applyFill="1" applyBorder="1" applyAlignment="1">
      <alignment horizontal="right"/>
    </xf>
    <xf numFmtId="167" fontId="5" fillId="2" borderId="28" xfId="2" applyFont="1" applyFill="1" applyBorder="1" applyAlignment="1" applyProtection="1"/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left"/>
    </xf>
    <xf numFmtId="0" fontId="3" fillId="3" borderId="15" xfId="0" applyFont="1" applyFill="1" applyBorder="1" applyAlignment="1">
      <alignment horizontal="center"/>
    </xf>
    <xf numFmtId="0" fontId="3" fillId="6" borderId="9" xfId="0" applyFont="1" applyFill="1" applyBorder="1" applyAlignment="1">
      <alignment horizontal="center"/>
    </xf>
    <xf numFmtId="0" fontId="3" fillId="6" borderId="29" xfId="0" applyFont="1" applyFill="1" applyBorder="1" applyAlignment="1">
      <alignment horizontal="center"/>
    </xf>
    <xf numFmtId="3" fontId="0" fillId="4" borderId="15" xfId="0" applyNumberFormat="1" applyFill="1" applyBorder="1"/>
    <xf numFmtId="3" fontId="0" fillId="4" borderId="24" xfId="0" applyNumberFormat="1" applyFill="1" applyBorder="1"/>
    <xf numFmtId="3" fontId="6" fillId="0" borderId="30" xfId="0" applyNumberFormat="1" applyFont="1" applyBorder="1" applyAlignment="1">
      <alignment horizontal="right"/>
    </xf>
    <xf numFmtId="3" fontId="6" fillId="0" borderId="11" xfId="0" applyNumberFormat="1" applyFont="1" applyBorder="1" applyAlignment="1">
      <alignment horizontal="right"/>
    </xf>
    <xf numFmtId="3" fontId="0" fillId="4" borderId="16" xfId="0" applyNumberFormat="1" applyFill="1" applyBorder="1"/>
    <xf numFmtId="3" fontId="0" fillId="4" borderId="17" xfId="0" applyNumberFormat="1" applyFill="1" applyBorder="1"/>
    <xf numFmtId="3" fontId="6" fillId="0" borderId="31" xfId="0" applyNumberFormat="1" applyFont="1" applyBorder="1" applyAlignment="1">
      <alignment horizontal="right"/>
    </xf>
    <xf numFmtId="3" fontId="0" fillId="4" borderId="18" xfId="0" applyNumberFormat="1" applyFill="1" applyBorder="1"/>
    <xf numFmtId="3" fontId="0" fillId="4" borderId="20" xfId="0" applyNumberFormat="1" applyFill="1" applyBorder="1"/>
    <xf numFmtId="3" fontId="6" fillId="0" borderId="32" xfId="0" applyNumberFormat="1" applyFont="1" applyBorder="1" applyAlignment="1">
      <alignment horizontal="right"/>
    </xf>
    <xf numFmtId="3" fontId="6" fillId="0" borderId="33" xfId="0" applyNumberFormat="1" applyFont="1" applyBorder="1" applyAlignment="1">
      <alignment horizontal="right"/>
    </xf>
    <xf numFmtId="4" fontId="0" fillId="3" borderId="2" xfId="0" applyNumberFormat="1" applyFill="1" applyBorder="1"/>
    <xf numFmtId="4" fontId="3" fillId="6" borderId="22" xfId="0" applyNumberFormat="1" applyFont="1" applyFill="1" applyBorder="1" applyAlignment="1">
      <alignment horizontal="right"/>
    </xf>
    <xf numFmtId="4" fontId="3" fillId="6" borderId="23" xfId="0" applyNumberFormat="1" applyFont="1" applyFill="1" applyBorder="1" applyAlignment="1">
      <alignment horizontal="right"/>
    </xf>
    <xf numFmtId="0" fontId="3" fillId="0" borderId="0" xfId="0" applyFont="1" applyBorder="1" applyAlignment="1">
      <alignment horizontal="center"/>
    </xf>
    <xf numFmtId="4" fontId="0" fillId="0" borderId="0" xfId="0" applyNumberFormat="1" applyBorder="1"/>
    <xf numFmtId="4" fontId="3" fillId="0" borderId="0" xfId="0" applyNumberFormat="1" applyFont="1" applyBorder="1" applyAlignment="1">
      <alignment horizontal="right"/>
    </xf>
    <xf numFmtId="0" fontId="0" fillId="0" borderId="0" xfId="0" applyFont="1" applyBorder="1"/>
    <xf numFmtId="3" fontId="3" fillId="0" borderId="0" xfId="0" applyNumberFormat="1" applyFont="1" applyBorder="1" applyAlignment="1">
      <alignment horizontal="right"/>
    </xf>
    <xf numFmtId="4" fontId="0" fillId="4" borderId="15" xfId="0" applyNumberFormat="1" applyFill="1" applyBorder="1"/>
    <xf numFmtId="4" fontId="0" fillId="4" borderId="24" xfId="0" applyNumberFormat="1" applyFill="1" applyBorder="1"/>
    <xf numFmtId="4" fontId="6" fillId="0" borderId="30" xfId="0" applyNumberFormat="1" applyFont="1" applyBorder="1" applyAlignment="1">
      <alignment horizontal="right"/>
    </xf>
    <xf numFmtId="4" fontId="6" fillId="0" borderId="11" xfId="0" applyNumberFormat="1" applyFont="1" applyBorder="1" applyAlignment="1">
      <alignment horizontal="right"/>
    </xf>
    <xf numFmtId="4" fontId="0" fillId="4" borderId="16" xfId="0" applyNumberFormat="1" applyFill="1" applyBorder="1"/>
    <xf numFmtId="4" fontId="0" fillId="4" borderId="17" xfId="0" applyNumberFormat="1" applyFill="1" applyBorder="1"/>
    <xf numFmtId="4" fontId="6" fillId="0" borderId="31" xfId="0" applyNumberFormat="1" applyFont="1" applyBorder="1" applyAlignment="1">
      <alignment horizontal="right"/>
    </xf>
    <xf numFmtId="4" fontId="0" fillId="4" borderId="18" xfId="0" applyNumberFormat="1" applyFill="1" applyBorder="1"/>
    <xf numFmtId="4" fontId="0" fillId="4" borderId="20" xfId="0" applyNumberFormat="1" applyFill="1" applyBorder="1"/>
    <xf numFmtId="4" fontId="6" fillId="0" borderId="32" xfId="0" applyNumberFormat="1" applyFont="1" applyBorder="1" applyAlignment="1">
      <alignment horizontal="right"/>
    </xf>
    <xf numFmtId="4" fontId="6" fillId="0" borderId="33" xfId="0" applyNumberFormat="1" applyFont="1" applyBorder="1" applyAlignment="1">
      <alignment horizontal="right"/>
    </xf>
    <xf numFmtId="0" fontId="3" fillId="3" borderId="24" xfId="0" applyFont="1" applyFill="1" applyBorder="1" applyAlignment="1">
      <alignment horizontal="center"/>
    </xf>
    <xf numFmtId="4" fontId="0" fillId="0" borderId="2" xfId="0" applyNumberFormat="1" applyBorder="1"/>
    <xf numFmtId="4" fontId="6" fillId="0" borderId="30" xfId="0" applyNumberFormat="1" applyFont="1" applyBorder="1"/>
    <xf numFmtId="4" fontId="6" fillId="0" borderId="34" xfId="0" applyNumberFormat="1" applyFont="1" applyBorder="1"/>
    <xf numFmtId="4" fontId="0" fillId="0" borderId="2" xfId="0" applyNumberFormat="1" applyBorder="1"/>
    <xf numFmtId="4" fontId="0" fillId="0" borderId="13" xfId="0" applyNumberFormat="1" applyBorder="1"/>
    <xf numFmtId="4" fontId="6" fillId="0" borderId="32" xfId="0" applyNumberFormat="1" applyFont="1" applyBorder="1"/>
    <xf numFmtId="4" fontId="6" fillId="0" borderId="35" xfId="0" applyNumberFormat="1" applyFont="1" applyBorder="1"/>
    <xf numFmtId="4" fontId="0" fillId="0" borderId="0" xfId="0" applyNumberFormat="1"/>
    <xf numFmtId="4" fontId="0" fillId="3" borderId="2" xfId="0" applyNumberFormat="1" applyFont="1" applyFill="1" applyBorder="1"/>
    <xf numFmtId="4" fontId="3" fillId="6" borderId="12" xfId="0" applyNumberFormat="1" applyFont="1" applyFill="1" applyBorder="1" applyAlignment="1">
      <alignment horizontal="right"/>
    </xf>
    <xf numFmtId="4" fontId="0" fillId="0" borderId="0" xfId="0" applyNumberFormat="1" applyFont="1" applyBorder="1"/>
    <xf numFmtId="4" fontId="0" fillId="4" borderId="2" xfId="0" applyNumberFormat="1" applyFont="1" applyFill="1" applyBorder="1"/>
    <xf numFmtId="4" fontId="3" fillId="6" borderId="36" xfId="0" applyNumberFormat="1" applyFont="1" applyFill="1" applyBorder="1" applyAlignment="1">
      <alignment horizontal="right"/>
    </xf>
    <xf numFmtId="167" fontId="0" fillId="0" borderId="0" xfId="2" applyFont="1" applyBorder="1" applyAlignment="1" applyProtection="1"/>
    <xf numFmtId="0" fontId="3" fillId="3" borderId="37" xfId="0" applyFont="1" applyFill="1" applyBorder="1" applyAlignment="1">
      <alignment horizontal="center"/>
    </xf>
    <xf numFmtId="0" fontId="3" fillId="6" borderId="38" xfId="0" applyFont="1" applyFill="1" applyBorder="1" applyAlignment="1">
      <alignment horizontal="center"/>
    </xf>
    <xf numFmtId="0" fontId="3" fillId="6" borderId="39" xfId="0" applyFont="1" applyFill="1" applyBorder="1" applyAlignment="1">
      <alignment horizontal="center"/>
    </xf>
    <xf numFmtId="174" fontId="0" fillId="0" borderId="24" xfId="0" applyNumberFormat="1" applyBorder="1"/>
    <xf numFmtId="174" fontId="0" fillId="0" borderId="15" xfId="0" applyNumberFormat="1" applyBorder="1"/>
    <xf numFmtId="174" fontId="0" fillId="0" borderId="37" xfId="0" applyNumberFormat="1" applyBorder="1"/>
    <xf numFmtId="4" fontId="6" fillId="0" borderId="35" xfId="0" applyNumberFormat="1" applyFont="1" applyBorder="1"/>
    <xf numFmtId="174" fontId="3" fillId="0" borderId="20" xfId="0" applyNumberFormat="1" applyFont="1" applyBorder="1"/>
    <xf numFmtId="174" fontId="3" fillId="0" borderId="18" xfId="0" applyNumberFormat="1" applyFont="1" applyBorder="1"/>
    <xf numFmtId="174" fontId="3" fillId="0" borderId="25" xfId="0" applyNumberFormat="1" applyFont="1" applyBorder="1"/>
    <xf numFmtId="174" fontId="3" fillId="0" borderId="21" xfId="0" applyNumberFormat="1" applyFont="1" applyBorder="1"/>
    <xf numFmtId="4" fontId="7" fillId="0" borderId="24" xfId="0" applyNumberFormat="1" applyFont="1" applyBorder="1"/>
    <xf numFmtId="4" fontId="7" fillId="0" borderId="15" xfId="0" applyNumberFormat="1" applyFont="1" applyBorder="1"/>
    <xf numFmtId="174" fontId="0" fillId="0" borderId="20" xfId="0" applyNumberFormat="1" applyFont="1" applyBorder="1" applyAlignment="1">
      <alignment horizontal="right"/>
    </xf>
    <xf numFmtId="174" fontId="0" fillId="0" borderId="18" xfId="0" applyNumberFormat="1" applyFont="1" applyBorder="1" applyAlignment="1">
      <alignment horizontal="right"/>
    </xf>
    <xf numFmtId="174" fontId="3" fillId="0" borderId="18" xfId="0" applyNumberFormat="1" applyFont="1" applyBorder="1" applyAlignment="1">
      <alignment horizontal="right"/>
    </xf>
    <xf numFmtId="175" fontId="0" fillId="0" borderId="0" xfId="3" applyNumberFormat="1" applyFont="1" applyBorder="1" applyAlignment="1" applyProtection="1"/>
    <xf numFmtId="175" fontId="0" fillId="0" borderId="0" xfId="0" applyNumberFormat="1"/>
    <xf numFmtId="166" fontId="0" fillId="0" borderId="0" xfId="3" applyNumberFormat="1" applyFont="1" applyBorder="1" applyAlignment="1" applyProtection="1">
      <alignment horizontal="center"/>
    </xf>
    <xf numFmtId="0" fontId="5" fillId="2" borderId="0" xfId="0" applyFont="1" applyFill="1" applyAlignment="1">
      <alignment horizontal="center"/>
    </xf>
    <xf numFmtId="0" fontId="8" fillId="2" borderId="0" xfId="0" applyFont="1" applyFill="1"/>
    <xf numFmtId="0" fontId="0" fillId="0" borderId="0" xfId="0" applyBorder="1" applyAlignment="1"/>
    <xf numFmtId="0" fontId="0" fillId="3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0" fontId="0" fillId="3" borderId="0" xfId="0" applyFill="1" applyAlignment="1">
      <alignment horizontal="right"/>
    </xf>
    <xf numFmtId="170" fontId="0" fillId="3" borderId="0" xfId="0" applyNumberFormat="1" applyFill="1"/>
    <xf numFmtId="2" fontId="0" fillId="3" borderId="0" xfId="0" applyNumberFormat="1" applyFill="1" applyAlignment="1">
      <alignment horizontal="right"/>
    </xf>
    <xf numFmtId="176" fontId="0" fillId="3" borderId="0" xfId="0" applyNumberFormat="1" applyFill="1" applyAlignment="1">
      <alignment horizontal="right"/>
    </xf>
    <xf numFmtId="177" fontId="0" fillId="4" borderId="0" xfId="3" applyNumberFormat="1" applyFont="1" applyFill="1" applyBorder="1" applyAlignment="1" applyProtection="1"/>
    <xf numFmtId="0" fontId="3" fillId="3" borderId="42" xfId="0" applyFont="1" applyFill="1" applyBorder="1" applyAlignment="1">
      <alignment horizontal="center"/>
    </xf>
    <xf numFmtId="0" fontId="3" fillId="3" borderId="20" xfId="0" applyFont="1" applyFill="1" applyBorder="1" applyAlignment="1">
      <alignment horizontal="center"/>
    </xf>
    <xf numFmtId="0" fontId="3" fillId="3" borderId="43" xfId="0" applyFont="1" applyFill="1" applyBorder="1" applyAlignment="1">
      <alignment horizontal="center"/>
    </xf>
    <xf numFmtId="0" fontId="3" fillId="3" borderId="44" xfId="0" applyFont="1" applyFill="1" applyBorder="1" applyAlignment="1">
      <alignment horizontal="center"/>
    </xf>
    <xf numFmtId="3" fontId="0" fillId="0" borderId="46" xfId="0" applyNumberFormat="1" applyBorder="1" applyAlignment="1">
      <alignment horizontal="center"/>
    </xf>
    <xf numFmtId="168" fontId="0" fillId="0" borderId="24" xfId="0" applyNumberFormat="1" applyBorder="1" applyAlignment="1"/>
    <xf numFmtId="170" fontId="0" fillId="4" borderId="46" xfId="0" applyNumberFormat="1" applyFill="1" applyBorder="1" applyAlignment="1">
      <alignment horizontal="center"/>
    </xf>
    <xf numFmtId="166" fontId="0" fillId="0" borderId="47" xfId="3" applyNumberFormat="1" applyFont="1" applyBorder="1" applyAlignment="1" applyProtection="1">
      <alignment horizontal="center"/>
    </xf>
    <xf numFmtId="178" fontId="0" fillId="0" borderId="48" xfId="0" applyNumberFormat="1" applyBorder="1" applyAlignment="1">
      <alignment horizontal="center"/>
    </xf>
    <xf numFmtId="179" fontId="0" fillId="0" borderId="0" xfId="3" applyNumberFormat="1" applyFont="1" applyBorder="1" applyAlignment="1" applyProtection="1">
      <alignment horizontal="right"/>
    </xf>
    <xf numFmtId="166" fontId="0" fillId="0" borderId="49" xfId="3" applyNumberFormat="1" applyFont="1" applyBorder="1" applyAlignment="1" applyProtection="1">
      <alignment horizontal="center"/>
    </xf>
    <xf numFmtId="168" fontId="0" fillId="0" borderId="17" xfId="0" applyNumberFormat="1" applyBorder="1" applyAlignment="1"/>
    <xf numFmtId="178" fontId="0" fillId="0" borderId="46" xfId="0" applyNumberFormat="1" applyBorder="1" applyAlignment="1">
      <alignment horizontal="center"/>
    </xf>
    <xf numFmtId="0" fontId="0" fillId="0" borderId="52" xfId="0" applyBorder="1" applyAlignment="1">
      <alignment horizontal="center"/>
    </xf>
    <xf numFmtId="168" fontId="0" fillId="0" borderId="53" xfId="0" applyNumberFormat="1" applyBorder="1" applyAlignment="1"/>
    <xf numFmtId="170" fontId="0" fillId="4" borderId="52" xfId="0" applyNumberFormat="1" applyFill="1" applyBorder="1" applyAlignment="1">
      <alignment horizontal="center"/>
    </xf>
    <xf numFmtId="168" fontId="0" fillId="0" borderId="53" xfId="0" applyNumberFormat="1" applyBorder="1" applyAlignment="1"/>
    <xf numFmtId="166" fontId="0" fillId="0" borderId="54" xfId="3" applyNumberFormat="1" applyFont="1" applyBorder="1" applyAlignment="1" applyProtection="1">
      <alignment horizontal="center"/>
    </xf>
    <xf numFmtId="178" fontId="0" fillId="0" borderId="52" xfId="0" applyNumberFormat="1" applyBorder="1" applyAlignment="1">
      <alignment horizontal="center"/>
    </xf>
    <xf numFmtId="179" fontId="0" fillId="0" borderId="55" xfId="3" applyNumberFormat="1" applyFont="1" applyBorder="1" applyAlignment="1" applyProtection="1">
      <alignment horizontal="right"/>
    </xf>
    <xf numFmtId="3" fontId="3" fillId="10" borderId="57" xfId="0" applyNumberFormat="1" applyFont="1" applyFill="1" applyBorder="1" applyAlignment="1">
      <alignment horizontal="center"/>
    </xf>
    <xf numFmtId="168" fontId="3" fillId="10" borderId="58" xfId="0" applyNumberFormat="1" applyFont="1" applyFill="1" applyBorder="1" applyAlignment="1"/>
    <xf numFmtId="170" fontId="3" fillId="11" borderId="57" xfId="0" applyNumberFormat="1" applyFont="1" applyFill="1" applyBorder="1" applyAlignment="1">
      <alignment horizontal="center"/>
    </xf>
    <xf numFmtId="168" fontId="3" fillId="11" borderId="59" xfId="0" applyNumberFormat="1" applyFont="1" applyFill="1" applyBorder="1" applyAlignment="1"/>
    <xf numFmtId="166" fontId="3" fillId="11" borderId="58" xfId="0" applyNumberFormat="1" applyFont="1" applyFill="1" applyBorder="1" applyAlignment="1">
      <alignment horizontal="center"/>
    </xf>
    <xf numFmtId="0" fontId="9" fillId="12" borderId="57" xfId="0" applyFont="1" applyFill="1" applyBorder="1" applyAlignment="1">
      <alignment horizontal="center"/>
    </xf>
    <xf numFmtId="168" fontId="9" fillId="12" borderId="59" xfId="3" applyNumberFormat="1" applyFont="1" applyFill="1" applyBorder="1" applyAlignment="1" applyProtection="1">
      <alignment horizontal="center"/>
    </xf>
    <xf numFmtId="166" fontId="9" fillId="12" borderId="58" xfId="0" applyNumberFormat="1" applyFont="1" applyFill="1" applyBorder="1" applyAlignment="1">
      <alignment horizontal="center"/>
    </xf>
    <xf numFmtId="168" fontId="0" fillId="0" borderId="17" xfId="0" applyNumberFormat="1" applyBorder="1" applyAlignment="1">
      <alignment horizontal="center"/>
    </xf>
    <xf numFmtId="170" fontId="0" fillId="0" borderId="48" xfId="0" applyNumberFormat="1" applyBorder="1" applyAlignment="1">
      <alignment horizontal="center"/>
    </xf>
    <xf numFmtId="168" fontId="0" fillId="0" borderId="0" xfId="3" applyNumberFormat="1" applyFont="1" applyBorder="1" applyAlignment="1" applyProtection="1">
      <alignment horizontal="center"/>
    </xf>
    <xf numFmtId="170" fontId="0" fillId="0" borderId="46" xfId="0" applyNumberFormat="1" applyBorder="1" applyAlignment="1">
      <alignment horizontal="center"/>
    </xf>
    <xf numFmtId="168" fontId="0" fillId="0" borderId="53" xfId="0" applyNumberFormat="1" applyBorder="1" applyAlignment="1">
      <alignment horizontal="center"/>
    </xf>
    <xf numFmtId="168" fontId="0" fillId="0" borderId="53" xfId="0" applyNumberFormat="1" applyBorder="1" applyAlignment="1">
      <alignment horizontal="center"/>
    </xf>
    <xf numFmtId="170" fontId="0" fillId="0" borderId="52" xfId="0" applyNumberFormat="1" applyBorder="1" applyAlignment="1">
      <alignment horizontal="center"/>
    </xf>
    <xf numFmtId="168" fontId="0" fillId="0" borderId="55" xfId="3" applyNumberFormat="1" applyFont="1" applyBorder="1" applyAlignment="1" applyProtection="1">
      <alignment horizontal="center"/>
    </xf>
    <xf numFmtId="166" fontId="0" fillId="0" borderId="63" xfId="3" applyNumberFormat="1" applyFont="1" applyBorder="1" applyAlignment="1" applyProtection="1">
      <alignment horizontal="center"/>
    </xf>
    <xf numFmtId="168" fontId="0" fillId="0" borderId="0" xfId="0" applyNumberFormat="1" applyBorder="1" applyAlignment="1">
      <alignment horizontal="center"/>
    </xf>
    <xf numFmtId="168" fontId="0" fillId="13" borderId="0" xfId="0" applyNumberFormat="1" applyFill="1" applyBorder="1" applyAlignment="1">
      <alignment horizontal="center"/>
    </xf>
    <xf numFmtId="0" fontId="0" fillId="0" borderId="64" xfId="0" applyBorder="1" applyAlignment="1">
      <alignment horizontal="left"/>
    </xf>
    <xf numFmtId="0" fontId="0" fillId="0" borderId="65" xfId="0" applyBorder="1" applyAlignment="1">
      <alignment horizontal="left"/>
    </xf>
    <xf numFmtId="166" fontId="0" fillId="0" borderId="58" xfId="0" applyNumberFormat="1" applyFont="1" applyBorder="1" applyAlignment="1">
      <alignment horizontal="center"/>
    </xf>
    <xf numFmtId="166" fontId="10" fillId="0" borderId="58" xfId="0" applyNumberFormat="1" applyFont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3" fillId="0" borderId="1" xfId="0" applyFont="1" applyBorder="1" applyAlignment="1">
      <alignment horizontal="right"/>
    </xf>
    <xf numFmtId="0" fontId="3" fillId="3" borderId="3" xfId="0" applyFont="1" applyFill="1" applyBorder="1" applyAlignment="1">
      <alignment horizontal="center"/>
    </xf>
    <xf numFmtId="0" fontId="3" fillId="3" borderId="22" xfId="0" applyFont="1" applyFill="1" applyBorder="1" applyAlignment="1">
      <alignment horizontal="right"/>
    </xf>
    <xf numFmtId="0" fontId="3" fillId="3" borderId="12" xfId="0" applyFont="1" applyFill="1" applyBorder="1" applyAlignment="1">
      <alignment horizontal="left"/>
    </xf>
    <xf numFmtId="0" fontId="3" fillId="0" borderId="0" xfId="0" applyFont="1" applyBorder="1" applyAlignment="1">
      <alignment horizontal="left"/>
    </xf>
    <xf numFmtId="0" fontId="3" fillId="3" borderId="12" xfId="0" applyFont="1" applyFill="1" applyBorder="1" applyAlignment="1">
      <alignment horizontal="right"/>
    </xf>
    <xf numFmtId="0" fontId="3" fillId="3" borderId="22" xfId="0" applyFont="1" applyFill="1" applyBorder="1" applyAlignment="1">
      <alignment horizontal="left" indent="1"/>
    </xf>
    <xf numFmtId="0" fontId="3" fillId="0" borderId="0" xfId="0" applyFont="1" applyBorder="1" applyAlignment="1">
      <alignment horizontal="right"/>
    </xf>
    <xf numFmtId="0" fontId="3" fillId="3" borderId="2" xfId="0" applyFont="1" applyFill="1" applyBorder="1" applyAlignment="1"/>
    <xf numFmtId="0" fontId="0" fillId="4" borderId="15" xfId="0" applyFill="1" applyBorder="1" applyAlignment="1"/>
    <xf numFmtId="0" fontId="0" fillId="4" borderId="16" xfId="0" applyFill="1" applyBorder="1" applyAlignment="1"/>
    <xf numFmtId="0" fontId="0" fillId="4" borderId="16" xfId="0" applyFill="1" applyBorder="1" applyAlignment="1">
      <alignment horizontal="left"/>
    </xf>
    <xf numFmtId="0" fontId="4" fillId="0" borderId="18" xfId="0" applyFont="1" applyBorder="1" applyAlignment="1">
      <alignment horizontal="center"/>
    </xf>
    <xf numFmtId="168" fontId="3" fillId="3" borderId="2" xfId="3" applyNumberFormat="1" applyFont="1" applyFill="1" applyBorder="1" applyAlignment="1" applyProtection="1">
      <alignment horizontal="center"/>
    </xf>
    <xf numFmtId="0" fontId="0" fillId="4" borderId="16" xfId="0" applyFont="1" applyFill="1" applyBorder="1" applyAlignment="1">
      <alignment horizontal="left"/>
    </xf>
    <xf numFmtId="168" fontId="0" fillId="4" borderId="16" xfId="1" applyNumberFormat="1" applyFont="1" applyFill="1" applyBorder="1" applyAlignment="1" applyProtection="1">
      <alignment horizontal="center"/>
    </xf>
    <xf numFmtId="0" fontId="4" fillId="0" borderId="18" xfId="0" applyFont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0" fillId="4" borderId="15" xfId="0" applyFill="1" applyBorder="1" applyAlignment="1">
      <alignment horizontal="left"/>
    </xf>
    <xf numFmtId="0" fontId="0" fillId="4" borderId="15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168" fontId="3" fillId="0" borderId="0" xfId="0" applyNumberFormat="1" applyFont="1" applyBorder="1" applyAlignment="1">
      <alignment horizontal="center"/>
    </xf>
    <xf numFmtId="168" fontId="0" fillId="4" borderId="16" xfId="0" applyNumberFormat="1" applyFill="1" applyBorder="1" applyAlignment="1">
      <alignment horizontal="center"/>
    </xf>
    <xf numFmtId="168" fontId="0" fillId="0" borderId="16" xfId="0" applyNumberFormat="1" applyBorder="1" applyAlignment="1">
      <alignment horizontal="center"/>
    </xf>
    <xf numFmtId="168" fontId="0" fillId="4" borderId="18" xfId="0" applyNumberFormat="1" applyFill="1" applyBorder="1" applyAlignment="1">
      <alignment horizontal="center"/>
    </xf>
    <xf numFmtId="168" fontId="0" fillId="0" borderId="18" xfId="0" applyNumberFormat="1" applyBorder="1" applyAlignment="1">
      <alignment horizontal="center"/>
    </xf>
    <xf numFmtId="0" fontId="3" fillId="3" borderId="13" xfId="0" applyFont="1" applyFill="1" applyBorder="1" applyAlignment="1">
      <alignment horizontal="left"/>
    </xf>
    <xf numFmtId="0" fontId="3" fillId="3" borderId="14" xfId="0" applyFont="1" applyFill="1" applyBorder="1" applyAlignment="1">
      <alignment horizontal="center"/>
    </xf>
    <xf numFmtId="168" fontId="0" fillId="4" borderId="15" xfId="0" applyNumberFormat="1" applyFill="1" applyBorder="1" applyAlignment="1">
      <alignment horizontal="center"/>
    </xf>
    <xf numFmtId="168" fontId="0" fillId="0" borderId="15" xfId="0" applyNumberFormat="1" applyBorder="1" applyAlignment="1">
      <alignment horizontal="center"/>
    </xf>
    <xf numFmtId="0" fontId="0" fillId="0" borderId="0" xfId="0" applyFont="1" applyBorder="1" applyAlignment="1">
      <alignment horizontal="left"/>
    </xf>
    <xf numFmtId="14" fontId="0" fillId="4" borderId="2" xfId="0" applyNumberFormat="1" applyFill="1" applyBorder="1" applyAlignment="1">
      <alignment horizontal="center"/>
    </xf>
    <xf numFmtId="0" fontId="3" fillId="3" borderId="0" xfId="0" applyFont="1" applyFill="1" applyBorder="1" applyAlignment="1">
      <alignment horizontal="left"/>
    </xf>
    <xf numFmtId="168" fontId="0" fillId="4" borderId="2" xfId="0" applyNumberFormat="1" applyFill="1" applyBorder="1" applyAlignment="1"/>
    <xf numFmtId="17" fontId="0" fillId="4" borderId="2" xfId="0" applyNumberFormat="1" applyFill="1" applyBorder="1" applyAlignment="1">
      <alignment horizontal="left"/>
    </xf>
    <xf numFmtId="0" fontId="0" fillId="4" borderId="2" xfId="0" applyFill="1" applyBorder="1" applyAlignment="1">
      <alignment horizontal="left"/>
    </xf>
    <xf numFmtId="0" fontId="0" fillId="0" borderId="24" xfId="0" applyFont="1" applyBorder="1" applyAlignment="1">
      <alignment horizontal="left"/>
    </xf>
    <xf numFmtId="0" fontId="0" fillId="0" borderId="18" xfId="0" applyFont="1" applyBorder="1" applyAlignment="1">
      <alignment horizontal="left"/>
    </xf>
    <xf numFmtId="0" fontId="0" fillId="0" borderId="20" xfId="0" applyFont="1" applyBorder="1" applyAlignment="1">
      <alignment horizontal="left"/>
    </xf>
    <xf numFmtId="0" fontId="5" fillId="2" borderId="0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18" xfId="0" applyBorder="1" applyAlignment="1">
      <alignment horizontal="left"/>
    </xf>
    <xf numFmtId="0" fontId="5" fillId="2" borderId="2" xfId="0" applyFont="1" applyFill="1" applyBorder="1" applyAlignment="1">
      <alignment horizontal="center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169" fontId="0" fillId="3" borderId="0" xfId="0" applyNumberFormat="1" applyFill="1" applyBorder="1" applyAlignment="1">
      <alignment horizontal="right"/>
    </xf>
    <xf numFmtId="0" fontId="0" fillId="0" borderId="1" xfId="0" applyFont="1" applyBorder="1" applyAlignment="1">
      <alignment horizontal="left"/>
    </xf>
    <xf numFmtId="166" fontId="0" fillId="4" borderId="2" xfId="3" applyNumberFormat="1" applyFont="1" applyFill="1" applyBorder="1" applyAlignment="1" applyProtection="1">
      <alignment horizontal="center"/>
    </xf>
    <xf numFmtId="14" fontId="0" fillId="0" borderId="2" xfId="0" applyNumberFormat="1" applyBorder="1" applyAlignment="1">
      <alignment horizontal="center"/>
    </xf>
    <xf numFmtId="166" fontId="0" fillId="0" borderId="0" xfId="3" applyNumberFormat="1" applyFont="1" applyBorder="1" applyAlignment="1" applyProtection="1">
      <alignment horizontal="center"/>
    </xf>
    <xf numFmtId="0" fontId="0" fillId="0" borderId="51" xfId="0" applyFont="1" applyBorder="1" applyAlignment="1">
      <alignment horizontal="left"/>
    </xf>
    <xf numFmtId="168" fontId="0" fillId="0" borderId="51" xfId="0" applyNumberFormat="1" applyBorder="1" applyAlignment="1">
      <alignment horizontal="center"/>
    </xf>
    <xf numFmtId="168" fontId="0" fillId="0" borderId="52" xfId="0" applyNumberFormat="1" applyBorder="1" applyAlignment="1">
      <alignment horizontal="center"/>
    </xf>
    <xf numFmtId="179" fontId="0" fillId="13" borderId="52" xfId="0" applyNumberFormat="1" applyFill="1" applyBorder="1" applyAlignment="1">
      <alignment horizontal="right"/>
    </xf>
    <xf numFmtId="0" fontId="0" fillId="0" borderId="56" xfId="0" applyFont="1" applyBorder="1" applyAlignment="1">
      <alignment horizontal="left"/>
    </xf>
    <xf numFmtId="168" fontId="0" fillId="0" borderId="56" xfId="0" applyNumberFormat="1" applyFont="1" applyBorder="1" applyAlignment="1">
      <alignment horizontal="center"/>
    </xf>
    <xf numFmtId="168" fontId="0" fillId="0" borderId="57" xfId="0" applyNumberFormat="1" applyFont="1" applyBorder="1" applyAlignment="1">
      <alignment horizontal="left"/>
    </xf>
    <xf numFmtId="168" fontId="10" fillId="0" borderId="57" xfId="3" applyNumberFormat="1" applyFont="1" applyBorder="1" applyAlignment="1" applyProtection="1">
      <alignment horizontal="left"/>
    </xf>
    <xf numFmtId="0" fontId="3" fillId="3" borderId="56" xfId="0" applyFont="1" applyFill="1" applyBorder="1" applyAlignment="1">
      <alignment horizontal="left"/>
    </xf>
    <xf numFmtId="168" fontId="3" fillId="10" borderId="56" xfId="0" applyNumberFormat="1" applyFont="1" applyFill="1" applyBorder="1" applyAlignment="1">
      <alignment horizontal="center"/>
    </xf>
    <xf numFmtId="168" fontId="3" fillId="11" borderId="57" xfId="0" applyNumberFormat="1" applyFont="1" applyFill="1" applyBorder="1" applyAlignment="1">
      <alignment horizontal="center"/>
    </xf>
    <xf numFmtId="168" fontId="9" fillId="12" borderId="57" xfId="3" applyNumberFormat="1" applyFont="1" applyFill="1" applyBorder="1" applyAlignment="1" applyProtection="1">
      <alignment horizontal="center"/>
    </xf>
    <xf numFmtId="0" fontId="0" fillId="0" borderId="50" xfId="0" applyBorder="1" applyAlignment="1">
      <alignment horizontal="left"/>
    </xf>
    <xf numFmtId="168" fontId="0" fillId="0" borderId="50" xfId="0" applyNumberFormat="1" applyBorder="1" applyAlignment="1">
      <alignment horizontal="center"/>
    </xf>
    <xf numFmtId="168" fontId="0" fillId="0" borderId="46" xfId="0" applyNumberFormat="1" applyBorder="1" applyAlignment="1">
      <alignment horizontal="center"/>
    </xf>
    <xf numFmtId="179" fontId="0" fillId="13" borderId="46" xfId="0" applyNumberFormat="1" applyFill="1" applyBorder="1" applyAlignment="1">
      <alignment horizontal="right"/>
    </xf>
    <xf numFmtId="0" fontId="5" fillId="7" borderId="40" xfId="0" applyFont="1" applyFill="1" applyBorder="1" applyAlignment="1">
      <alignment horizontal="center"/>
    </xf>
    <xf numFmtId="0" fontId="5" fillId="8" borderId="40" xfId="0" applyFont="1" applyFill="1" applyBorder="1" applyAlignment="1">
      <alignment horizontal="center"/>
    </xf>
    <xf numFmtId="0" fontId="5" fillId="9" borderId="40" xfId="0" applyFont="1" applyFill="1" applyBorder="1" applyAlignment="1">
      <alignment horizontal="center"/>
    </xf>
    <xf numFmtId="0" fontId="3" fillId="3" borderId="40" xfId="0" applyFont="1" applyFill="1" applyBorder="1" applyAlignment="1">
      <alignment horizontal="left"/>
    </xf>
    <xf numFmtId="0" fontId="3" fillId="3" borderId="60" xfId="0" applyFont="1" applyFill="1" applyBorder="1" applyAlignment="1">
      <alignment horizontal="center"/>
    </xf>
    <xf numFmtId="0" fontId="3" fillId="3" borderId="43" xfId="0" applyFont="1" applyFill="1" applyBorder="1" applyAlignment="1">
      <alignment horizontal="center"/>
    </xf>
    <xf numFmtId="0" fontId="0" fillId="0" borderId="45" xfId="0" applyBorder="1" applyAlignment="1">
      <alignment horizontal="left"/>
    </xf>
    <xf numFmtId="168" fontId="0" fillId="0" borderId="45" xfId="0" applyNumberFormat="1" applyBorder="1" applyAlignment="1">
      <alignment horizontal="center"/>
    </xf>
    <xf numFmtId="168" fontId="0" fillId="0" borderId="48" xfId="0" applyNumberFormat="1" applyBorder="1" applyAlignment="1">
      <alignment horizontal="center"/>
    </xf>
    <xf numFmtId="179" fontId="0" fillId="13" borderId="48" xfId="0" applyNumberFormat="1" applyFill="1" applyBorder="1" applyAlignment="1">
      <alignment horizontal="right"/>
    </xf>
    <xf numFmtId="0" fontId="0" fillId="0" borderId="61" xfId="0" applyFont="1" applyBorder="1" applyAlignment="1">
      <alignment horizontal="left"/>
    </xf>
    <xf numFmtId="168" fontId="0" fillId="0" borderId="61" xfId="0" applyNumberFormat="1" applyBorder="1" applyAlignment="1">
      <alignment horizontal="center"/>
    </xf>
    <xf numFmtId="168" fontId="0" fillId="4" borderId="62" xfId="0" applyNumberFormat="1" applyFill="1" applyBorder="1" applyAlignment="1">
      <alignment horizontal="center"/>
    </xf>
    <xf numFmtId="168" fontId="0" fillId="13" borderId="62" xfId="0" applyNumberFormat="1" applyFill="1" applyBorder="1" applyAlignment="1">
      <alignment horizontal="center"/>
    </xf>
    <xf numFmtId="0" fontId="3" fillId="3" borderId="56" xfId="0" applyFont="1" applyFill="1" applyBorder="1" applyAlignment="1">
      <alignment horizontal="center"/>
    </xf>
    <xf numFmtId="168" fontId="0" fillId="4" borderId="46" xfId="0" applyNumberFormat="1" applyFill="1" applyBorder="1" applyAlignment="1">
      <alignment horizontal="center"/>
    </xf>
    <xf numFmtId="168" fontId="0" fillId="13" borderId="46" xfId="0" applyNumberFormat="1" applyFill="1" applyBorder="1" applyAlignment="1">
      <alignment horizontal="center"/>
    </xf>
    <xf numFmtId="0" fontId="4" fillId="0" borderId="51" xfId="0" applyFont="1" applyBorder="1" applyAlignment="1">
      <alignment horizontal="center"/>
    </xf>
    <xf numFmtId="168" fontId="0" fillId="4" borderId="52" xfId="0" applyNumberFormat="1" applyFill="1" applyBorder="1" applyAlignment="1">
      <alignment horizontal="center"/>
    </xf>
    <xf numFmtId="168" fontId="0" fillId="13" borderId="52" xfId="0" applyNumberFormat="1" applyFill="1" applyBorder="1" applyAlignment="1">
      <alignment horizontal="center"/>
    </xf>
    <xf numFmtId="168" fontId="0" fillId="4" borderId="48" xfId="0" applyNumberFormat="1" applyFill="1" applyBorder="1" applyAlignment="1">
      <alignment horizontal="center"/>
    </xf>
    <xf numFmtId="168" fontId="0" fillId="13" borderId="48" xfId="0" applyNumberFormat="1" applyFill="1" applyBorder="1" applyAlignment="1">
      <alignment horizontal="center"/>
    </xf>
    <xf numFmtId="0" fontId="5" fillId="8" borderId="41" xfId="0" applyFont="1" applyFill="1" applyBorder="1" applyAlignment="1">
      <alignment horizontal="center"/>
    </xf>
    <xf numFmtId="168" fontId="0" fillId="0" borderId="2" xfId="0" applyNumberFormat="1" applyBorder="1" applyAlignment="1"/>
    <xf numFmtId="6" fontId="0" fillId="4" borderId="15" xfId="0" applyNumberFormat="1" applyFont="1" applyFill="1" applyBorder="1" applyAlignment="1">
      <alignment horizontal="left"/>
    </xf>
  </cellXfs>
  <cellStyles count="7">
    <cellStyle name="Millares" xfId="1" builtinId="3"/>
    <cellStyle name="Millares [0] 2" xfId="4" xr:uid="{00000000-0005-0000-0000-000001000000}"/>
    <cellStyle name="Moneda" xfId="2" builtinId="4"/>
    <cellStyle name="Normal" xfId="0" builtinId="0"/>
    <cellStyle name="Normal 2" xfId="5" xr:uid="{00000000-0005-0000-0000-000004000000}"/>
    <cellStyle name="Porcentaje" xfId="3" builtinId="5"/>
    <cellStyle name="Porcentaje 2" xfId="6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7933C"/>
      <rgbColor rgb="FF800080"/>
      <rgbColor rgb="FF4F81BD"/>
      <rgbColor rgb="FFB3B3B3"/>
      <rgbColor rgb="FF878787"/>
      <rgbColor rgb="FF93A9CE"/>
      <rgbColor rgb="FF953735"/>
      <rgbColor rgb="FFFFFFCC"/>
      <rgbColor rgb="FFDBEEF4"/>
      <rgbColor rgb="FF660066"/>
      <rgbColor rgb="FFD99694"/>
      <rgbColor rgb="FF4672A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5B3D7"/>
      <rgbColor rgb="FFFF99CC"/>
      <rgbColor rgb="FFCC99FF"/>
      <rgbColor rgb="FFC3D69B"/>
      <rgbColor rgb="FF4A7EBB"/>
      <rgbColor rgb="FF33CCCC"/>
      <rgbColor rgb="FF98B855"/>
      <rgbColor rgb="FFFFCC00"/>
      <rgbColor rgb="FFDC853E"/>
      <rgbColor rgb="FFC0504D"/>
      <rgbColor rgb="FF725990"/>
      <rgbColor rgb="FF8AA64F"/>
      <rgbColor rgb="FF003366"/>
      <rgbColor rgb="FF4299B0"/>
      <rgbColor rgb="FF003300"/>
      <rgbColor rgb="FF333300"/>
      <rgbColor rgb="FFBE4B48"/>
      <rgbColor rgb="FFAB4744"/>
      <rgbColor rgb="FF1F497D"/>
      <rgbColor rgb="FF4F622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view3D>
      <c:rotX val="15"/>
      <c:rotY val="20"/>
      <c:rAngAx val="1"/>
    </c:view3D>
    <c:floor>
      <c:thickness val="0"/>
      <c:spPr>
        <a:noFill/>
        <a:ln w="9360">
          <a:solidFill>
            <a:srgbClr val="878787"/>
          </a:solidFill>
          <a:round/>
        </a:ln>
      </c:spPr>
    </c:floor>
    <c:sideWall>
      <c:thickness val="0"/>
      <c:spPr>
        <a:noFill/>
        <a:ln w="9360">
          <a:solidFill>
            <a:srgbClr val="878787"/>
          </a:solidFill>
          <a:round/>
        </a:ln>
      </c:spPr>
    </c:sideWall>
    <c:backWall>
      <c:thickness val="0"/>
      <c:spPr>
        <a:noFill/>
        <a:ln w="9360">
          <a:solidFill>
            <a:srgbClr val="878787"/>
          </a:solidFill>
          <a:round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'PLAN FINANCIERO'!$A$21</c:f>
              <c:strCache>
                <c:ptCount val="1"/>
                <c:pt idx="0">
                  <c:v>Analista</c:v>
                </c:pt>
              </c:strCache>
            </c:strRef>
          </c:tx>
          <c:spPr>
            <a:solidFill>
              <a:srgbClr val="4672A8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'PLAN FINANCIERO'!$D$20:$O$20</c:f>
              <c:strCache>
                <c:ptCount val="12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  <c:pt idx="10">
                  <c:v>MES 11</c:v>
                </c:pt>
                <c:pt idx="11">
                  <c:v>MES 12</c:v>
                </c:pt>
              </c:strCache>
            </c:strRef>
          </c:cat>
          <c:val>
            <c:numRef>
              <c:f>'PLAN FINANCIERO'!$D$21:$O$21</c:f>
              <c:numCache>
                <c:formatCode>#,##0</c:formatCode>
                <c:ptCount val="12"/>
                <c:pt idx="0">
                  <c:v>133.33333333333334</c:v>
                </c:pt>
                <c:pt idx="1">
                  <c:v>116.66666666666667</c:v>
                </c:pt>
                <c:pt idx="2">
                  <c:v>100</c:v>
                </c:pt>
                <c:pt idx="3">
                  <c:v>100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40</c:v>
                </c:pt>
                <c:pt idx="11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C4-4E87-BFAF-E56A5AEC1DD2}"/>
            </c:ext>
          </c:extLst>
        </c:ser>
        <c:ser>
          <c:idx val="1"/>
          <c:order val="1"/>
          <c:tx>
            <c:strRef>
              <c:f>'PLAN FINANCIERO'!$A$22</c:f>
              <c:strCache>
                <c:ptCount val="1"/>
                <c:pt idx="0">
                  <c:v>Diseñador Gráfico Aplicativos</c:v>
                </c:pt>
              </c:strCache>
            </c:strRef>
          </c:tx>
          <c:spPr>
            <a:solidFill>
              <a:srgbClr val="AB474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'PLAN FINANCIERO'!$D$20:$O$20</c:f>
              <c:strCache>
                <c:ptCount val="12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  <c:pt idx="10">
                  <c:v>MES 11</c:v>
                </c:pt>
                <c:pt idx="11">
                  <c:v>MES 12</c:v>
                </c:pt>
              </c:strCache>
            </c:strRef>
          </c:cat>
          <c:val>
            <c:numRef>
              <c:f>'PLAN FINANCIERO'!$D$22:$O$22</c:f>
              <c:numCache>
                <c:formatCode>#,##0</c:formatCode>
                <c:ptCount val="12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40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C4-4E87-BFAF-E56A5AEC1DD2}"/>
            </c:ext>
          </c:extLst>
        </c:ser>
        <c:ser>
          <c:idx val="2"/>
          <c:order val="2"/>
          <c:tx>
            <c:strRef>
              <c:f>'PLAN FINANCIERO'!$A$23</c:f>
              <c:strCache>
                <c:ptCount val="1"/>
                <c:pt idx="0">
                  <c:v>Jefe de Proyecto</c:v>
                </c:pt>
              </c:strCache>
            </c:strRef>
          </c:tx>
          <c:spPr>
            <a:solidFill>
              <a:srgbClr val="8AA64F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'PLAN FINANCIERO'!$D$20:$O$20</c:f>
              <c:strCache>
                <c:ptCount val="12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  <c:pt idx="10">
                  <c:v>MES 11</c:v>
                </c:pt>
                <c:pt idx="11">
                  <c:v>MES 12</c:v>
                </c:pt>
              </c:strCache>
            </c:strRef>
          </c:cat>
          <c:val>
            <c:numRef>
              <c:f>'PLAN FINANCIERO'!$D$23:$O$23</c:f>
              <c:numCache>
                <c:formatCode>#,##0</c:formatCode>
                <c:ptCount val="12"/>
                <c:pt idx="0">
                  <c:v>26.666666666666668</c:v>
                </c:pt>
                <c:pt idx="1">
                  <c:v>21.333333333333336</c:v>
                </c:pt>
                <c:pt idx="2">
                  <c:v>16</c:v>
                </c:pt>
                <c:pt idx="3">
                  <c:v>16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40</c:v>
                </c:pt>
                <c:pt idx="11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C4-4E87-BFAF-E56A5AEC1DD2}"/>
            </c:ext>
          </c:extLst>
        </c:ser>
        <c:ser>
          <c:idx val="3"/>
          <c:order val="3"/>
          <c:tx>
            <c:strRef>
              <c:f>'PLAN FINANCIERO'!$A$24</c:f>
              <c:strCache>
                <c:ptCount val="1"/>
                <c:pt idx="0">
                  <c:v>Programador</c:v>
                </c:pt>
              </c:strCache>
            </c:strRef>
          </c:tx>
          <c:spPr>
            <a:solidFill>
              <a:srgbClr val="72599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'PLAN FINANCIERO'!$D$20:$O$20</c:f>
              <c:strCache>
                <c:ptCount val="12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  <c:pt idx="10">
                  <c:v>MES 11</c:v>
                </c:pt>
                <c:pt idx="11">
                  <c:v>MES 12</c:v>
                </c:pt>
              </c:strCache>
            </c:strRef>
          </c:cat>
          <c:val>
            <c:numRef>
              <c:f>'PLAN FINANCIERO'!$D$24:$O$24</c:f>
              <c:numCache>
                <c:formatCode>#,##0</c:formatCode>
                <c:ptCount val="12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40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60</c:v>
                </c:pt>
                <c:pt idx="11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C4-4E87-BFAF-E56A5AEC1DD2}"/>
            </c:ext>
          </c:extLst>
        </c:ser>
        <c:ser>
          <c:idx val="4"/>
          <c:order val="4"/>
          <c:tx>
            <c:strRef>
              <c:f>'PLAN FINANCIERO'!$A$25</c:f>
              <c:strCache>
                <c:ptCount val="1"/>
                <c:pt idx="0">
                  <c:v>Supervisor calidad aplicativos</c:v>
                </c:pt>
              </c:strCache>
            </c:strRef>
          </c:tx>
          <c:spPr>
            <a:solidFill>
              <a:srgbClr val="4299B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'PLAN FINANCIERO'!$D$20:$O$20</c:f>
              <c:strCache>
                <c:ptCount val="12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  <c:pt idx="10">
                  <c:v>MES 11</c:v>
                </c:pt>
                <c:pt idx="11">
                  <c:v>MES 12</c:v>
                </c:pt>
              </c:strCache>
            </c:strRef>
          </c:cat>
          <c:val>
            <c:numRef>
              <c:f>'PLAN FINANCIERO'!$D$25:$O$25</c:f>
              <c:numCache>
                <c:formatCode>#,##0</c:formatCode>
                <c:ptCount val="12"/>
                <c:pt idx="0">
                  <c:v>13.333333333333334</c:v>
                </c:pt>
                <c:pt idx="1">
                  <c:v>12.666666666666668</c:v>
                </c:pt>
                <c:pt idx="2">
                  <c:v>12</c:v>
                </c:pt>
                <c:pt idx="3">
                  <c:v>12</c:v>
                </c:pt>
                <c:pt idx="4">
                  <c:v>17</c:v>
                </c:pt>
                <c:pt idx="5">
                  <c:v>17</c:v>
                </c:pt>
                <c:pt idx="6">
                  <c:v>17</c:v>
                </c:pt>
                <c:pt idx="7">
                  <c:v>17</c:v>
                </c:pt>
                <c:pt idx="8">
                  <c:v>17</c:v>
                </c:pt>
                <c:pt idx="9">
                  <c:v>17</c:v>
                </c:pt>
                <c:pt idx="10">
                  <c:v>40</c:v>
                </c:pt>
                <c:pt idx="11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1C4-4E87-BFAF-E56A5AEC1DD2}"/>
            </c:ext>
          </c:extLst>
        </c:ser>
        <c:ser>
          <c:idx val="5"/>
          <c:order val="5"/>
          <c:tx>
            <c:strRef>
              <c:f>'PLAN FINANCIERO'!$A$26</c:f>
              <c:strCache>
                <c:ptCount val="1"/>
                <c:pt idx="0">
                  <c:v>Técnico de bases de datos</c:v>
                </c:pt>
              </c:strCache>
            </c:strRef>
          </c:tx>
          <c:spPr>
            <a:solidFill>
              <a:srgbClr val="DC853E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'PLAN FINANCIERO'!$D$20:$O$20</c:f>
              <c:strCache>
                <c:ptCount val="12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  <c:pt idx="10">
                  <c:v>MES 11</c:v>
                </c:pt>
                <c:pt idx="11">
                  <c:v>MES 12</c:v>
                </c:pt>
              </c:strCache>
            </c:strRef>
          </c:cat>
          <c:val>
            <c:numRef>
              <c:f>'PLAN FINANCIERO'!$D$26:$O$26</c:f>
              <c:numCache>
                <c:formatCode>#,##0</c:formatCode>
                <c:ptCount val="12"/>
                <c:pt idx="0">
                  <c:v>40</c:v>
                </c:pt>
                <c:pt idx="1">
                  <c:v>20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20</c:v>
                </c:pt>
                <c:pt idx="1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1C4-4E87-BFAF-E56A5AEC1DD2}"/>
            </c:ext>
          </c:extLst>
        </c:ser>
        <c:ser>
          <c:idx val="6"/>
          <c:order val="6"/>
          <c:tx>
            <c:strRef>
              <c:f>'PLAN FINANCIERO'!$A$27:$C$27</c:f>
              <c:strCache>
                <c:ptCount val="3"/>
                <c:pt idx="0">
                  <c:v>Técnico de sistemas</c:v>
                </c:pt>
              </c:strCache>
            </c:strRef>
          </c:tx>
          <c:spPr>
            <a:solidFill>
              <a:srgbClr val="93A9CE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'PLAN FINANCIERO'!$D$20:$O$20</c:f>
              <c:strCache>
                <c:ptCount val="12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  <c:pt idx="10">
                  <c:v>MES 11</c:v>
                </c:pt>
                <c:pt idx="11">
                  <c:v>MES 12</c:v>
                </c:pt>
              </c:strCache>
            </c:strRef>
          </c:cat>
          <c:val>
            <c:numRef>
              <c:f>'PLAN FINANCIERO'!$D$27:$O$27</c:f>
              <c:numCache>
                <c:formatCode>#,##0</c:formatCode>
                <c:ptCount val="12"/>
                <c:pt idx="0">
                  <c:v>0</c:v>
                </c:pt>
                <c:pt idx="1">
                  <c:v>12</c:v>
                </c:pt>
                <c:pt idx="2">
                  <c:v>24</c:v>
                </c:pt>
                <c:pt idx="3">
                  <c:v>24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20</c:v>
                </c:pt>
                <c:pt idx="1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1C4-4E87-BFAF-E56A5AEC1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98691584"/>
        <c:axId val="598698656"/>
        <c:axId val="0"/>
      </c:bar3DChart>
      <c:catAx>
        <c:axId val="5986915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598698656"/>
        <c:crosses val="autoZero"/>
        <c:auto val="1"/>
        <c:lblAlgn val="ctr"/>
        <c:lblOffset val="100"/>
        <c:noMultiLvlLbl val="0"/>
      </c:catAx>
      <c:valAx>
        <c:axId val="5986986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598691584"/>
        <c:crosses val="autoZero"/>
        <c:crossBetween val="between"/>
      </c:valAx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E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'PLAN FINANCIERO'!$B$71</c:f>
              <c:strCache>
                <c:ptCount val="1"/>
                <c:pt idx="0">
                  <c:v>COSTE ACUMULADO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E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'PLAN FINANCIERO'!$D$20:$O$20</c:f>
              <c:strCache>
                <c:ptCount val="12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  <c:pt idx="10">
                  <c:v>MES 11</c:v>
                </c:pt>
                <c:pt idx="11">
                  <c:v>MES 12</c:v>
                </c:pt>
              </c:strCache>
            </c:strRef>
          </c:cat>
          <c:val>
            <c:numRef>
              <c:f>'PLAN FINANCIERO'!$D$71:$O$71</c:f>
              <c:numCache>
                <c:formatCode>#,##0.00</c:formatCode>
                <c:ptCount val="12"/>
                <c:pt idx="0">
                  <c:v>5559.2045454545469</c:v>
                </c:pt>
                <c:pt idx="1">
                  <c:v>10842.761363636366</c:v>
                </c:pt>
                <c:pt idx="2">
                  <c:v>16180.670454545456</c:v>
                </c:pt>
                <c:pt idx="3">
                  <c:v>21298.579545454548</c:v>
                </c:pt>
                <c:pt idx="4">
                  <c:v>27505.965909090912</c:v>
                </c:pt>
                <c:pt idx="5">
                  <c:v>33548.352272727272</c:v>
                </c:pt>
                <c:pt idx="6">
                  <c:v>39755.738636363632</c:v>
                </c:pt>
                <c:pt idx="7">
                  <c:v>45798.124999999993</c:v>
                </c:pt>
                <c:pt idx="8">
                  <c:v>52005.511363636353</c:v>
                </c:pt>
                <c:pt idx="9">
                  <c:v>63198.897727272721</c:v>
                </c:pt>
                <c:pt idx="10">
                  <c:v>68716.028409090897</c:v>
                </c:pt>
                <c:pt idx="11">
                  <c:v>74068.159090909074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F0-4E31-B8AE-A82F2EDE6F85}"/>
            </c:ext>
          </c:extLst>
        </c:ser>
        <c:ser>
          <c:idx val="1"/>
          <c:order val="1"/>
          <c:tx>
            <c:strRef>
              <c:f>'PLAN FINANCIERO'!$B$78</c:f>
              <c:strCache>
                <c:ptCount val="1"/>
                <c:pt idx="0">
                  <c:v>INGRESOS ACUMULADO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E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'PLAN FINANCIERO'!$D$20:$O$20</c:f>
              <c:strCache>
                <c:ptCount val="12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  <c:pt idx="10">
                  <c:v>MES 11</c:v>
                </c:pt>
                <c:pt idx="11">
                  <c:v>MES 12</c:v>
                </c:pt>
              </c:strCache>
            </c:strRef>
          </c:cat>
          <c:val>
            <c:numRef>
              <c:f>'PLAN FINANCIERO'!$D$78:$O$78</c:f>
              <c:numCache>
                <c:formatCode>#,##0.00</c:formatCode>
                <c:ptCount val="12"/>
                <c:pt idx="0">
                  <c:v>19429.798030303031</c:v>
                </c:pt>
                <c:pt idx="1">
                  <c:v>19429.798030303031</c:v>
                </c:pt>
                <c:pt idx="2">
                  <c:v>19429.798030303031</c:v>
                </c:pt>
                <c:pt idx="3">
                  <c:v>19429.798030303031</c:v>
                </c:pt>
                <c:pt idx="4">
                  <c:v>19429.798030303031</c:v>
                </c:pt>
                <c:pt idx="5">
                  <c:v>38859.596060606062</c:v>
                </c:pt>
                <c:pt idx="6">
                  <c:v>38859.596060606062</c:v>
                </c:pt>
                <c:pt idx="7">
                  <c:v>38859.596060606062</c:v>
                </c:pt>
                <c:pt idx="8">
                  <c:v>38859.596060606062</c:v>
                </c:pt>
                <c:pt idx="9">
                  <c:v>38859.596060606062</c:v>
                </c:pt>
                <c:pt idx="10">
                  <c:v>38859.596060606062</c:v>
                </c:pt>
                <c:pt idx="11">
                  <c:v>97148.990151515143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F0-4E31-B8AE-A82F2EDE6F85}"/>
            </c:ext>
          </c:extLst>
        </c:ser>
        <c:ser>
          <c:idx val="2"/>
          <c:order val="2"/>
          <c:tx>
            <c:strRef>
              <c:f>'PLAN FINANCIERO'!$B$86</c:f>
              <c:strCache>
                <c:ptCount val="1"/>
                <c:pt idx="0">
                  <c:v>MARGEN ACUMULADO</c:v>
                </c:pt>
              </c:strCache>
            </c:strRef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E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'PLAN FINANCIERO'!$D$20:$O$20</c:f>
              <c:strCache>
                <c:ptCount val="12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  <c:pt idx="10">
                  <c:v>MES 11</c:v>
                </c:pt>
                <c:pt idx="11">
                  <c:v>MES 12</c:v>
                </c:pt>
              </c:strCache>
            </c:strRef>
          </c:cat>
          <c:val>
            <c:numRef>
              <c:f>'PLAN FINANCIERO'!$D$86:$O$86</c:f>
              <c:numCache>
                <c:formatCode>#,##0.00_ ;[Red]\-#,##0.00\ </c:formatCode>
                <c:ptCount val="12"/>
                <c:pt idx="0">
                  <c:v>13870.593484848483</c:v>
                </c:pt>
                <c:pt idx="1">
                  <c:v>8587.0366666666632</c:v>
                </c:pt>
                <c:pt idx="2">
                  <c:v>3249.1275757575722</c:v>
                </c:pt>
                <c:pt idx="3">
                  <c:v>-1868.7815151515188</c:v>
                </c:pt>
                <c:pt idx="4">
                  <c:v>-8076.1678787878818</c:v>
                </c:pt>
                <c:pt idx="5">
                  <c:v>5311.243787878785</c:v>
                </c:pt>
                <c:pt idx="6">
                  <c:v>-896.14257575757802</c:v>
                </c:pt>
                <c:pt idx="7">
                  <c:v>-6938.5289393939411</c:v>
                </c:pt>
                <c:pt idx="8">
                  <c:v>-13145.915303030304</c:v>
                </c:pt>
                <c:pt idx="9">
                  <c:v>-24339.301666666666</c:v>
                </c:pt>
                <c:pt idx="10">
                  <c:v>-29856.432348484846</c:v>
                </c:pt>
                <c:pt idx="11">
                  <c:v>23080.831060606051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F0-4E31-B8AE-A82F2EDE6F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98699744"/>
        <c:axId val="740967200"/>
      </c:lineChart>
      <c:catAx>
        <c:axId val="5986997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740967200"/>
        <c:crosses val="autoZero"/>
        <c:auto val="1"/>
        <c:lblAlgn val="ctr"/>
        <c:lblOffset val="100"/>
        <c:noMultiLvlLbl val="0"/>
      </c:catAx>
      <c:valAx>
        <c:axId val="7409672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59869974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E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view3D>
      <c:rotX val="15"/>
      <c:rotY val="20"/>
      <c:rAngAx val="1"/>
    </c:view3D>
    <c:floor>
      <c:thickness val="0"/>
      <c:spPr>
        <a:noFill/>
        <a:ln w="9360">
          <a:solidFill>
            <a:srgbClr val="878787"/>
          </a:solidFill>
          <a:round/>
        </a:ln>
      </c:spPr>
    </c:floor>
    <c:sideWall>
      <c:thickness val="0"/>
      <c:spPr>
        <a:noFill/>
        <a:ln w="9360">
          <a:solidFill>
            <a:srgbClr val="878787"/>
          </a:solidFill>
          <a:round/>
        </a:ln>
      </c:spPr>
    </c:sideWall>
    <c:backWall>
      <c:thickness val="0"/>
      <c:spPr>
        <a:noFill/>
        <a:ln w="9360">
          <a:solidFill>
            <a:srgbClr val="878787"/>
          </a:solidFill>
          <a:round/>
        </a:ln>
      </c:spPr>
    </c:backWall>
    <c:plotArea>
      <c:layout/>
      <c:bar3DChart>
        <c:barDir val="bar"/>
        <c:grouping val="percentStacked"/>
        <c:varyColors val="0"/>
        <c:ser>
          <c:idx val="0"/>
          <c:order val="0"/>
          <c:tx>
            <c:strRef>
              <c:f>CIERRE!$H$19</c:f>
              <c:strCache>
                <c:ptCount val="1"/>
                <c:pt idx="0">
                  <c:v>TOTAL FINAL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(CIERRE!$C$20,CIERRE!$C$32,CIERRE!$C$43,CIERRE!$C$53,CIERRE!$C$67,CIERRE!$C$77,CIERRE!$C$79)</c:f>
              <c:strCache>
                <c:ptCount val="7"/>
                <c:pt idx="0">
                  <c:v>PERSONAL</c:v>
                </c:pt>
                <c:pt idx="1">
                  <c:v>SUBCONTRATACIONES</c:v>
                </c:pt>
                <c:pt idx="2">
                  <c:v>EQUIPAMIENTO</c:v>
                </c:pt>
                <c:pt idx="3">
                  <c:v>AMORTIZACION HW/SW</c:v>
                </c:pt>
                <c:pt idx="4">
                  <c:v>OTROS GASTOS</c:v>
                </c:pt>
                <c:pt idx="5">
                  <c:v>INGRESOS</c:v>
                </c:pt>
                <c:pt idx="6">
                  <c:v>FACTURACIÓN</c:v>
                </c:pt>
              </c:strCache>
            </c:strRef>
          </c:cat>
          <c:val>
            <c:numRef>
              <c:f>(CIERRE!$I$30,CIERRE!$H$40,CIERRE!$H$51,CIERRE!$I$65,CIERRE!$H$75,CIERRE!$H$94,CIERRE!$H$80)</c:f>
              <c:numCache>
                <c:formatCode>_-* #,##0.00\ [$€-C0A]_-;\-* #,##0.00\ [$€-C0A]_-;_-* \-??\ [$€-C0A]_-;_-@_-</c:formatCode>
                <c:ptCount val="7"/>
                <c:pt idx="0">
                  <c:v>69254.36079545453</c:v>
                </c:pt>
                <c:pt idx="1">
                  <c:v>2228</c:v>
                </c:pt>
                <c:pt idx="2">
                  <c:v>5099</c:v>
                </c:pt>
                <c:pt idx="3">
                  <c:v>2344.3333333333335</c:v>
                </c:pt>
                <c:pt idx="4">
                  <c:v>2435</c:v>
                </c:pt>
                <c:pt idx="5">
                  <c:v>15788.296022727285</c:v>
                </c:pt>
                <c:pt idx="6">
                  <c:v>97148.990151515143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C1-4A54-BA9A-DF7A4624D845}"/>
            </c:ext>
          </c:extLst>
        </c:ser>
        <c:ser>
          <c:idx val="1"/>
          <c:order val="1"/>
          <c:tx>
            <c:strRef>
              <c:f>CIERRE!$K$19</c:f>
              <c:strCache>
                <c:ptCount val="1"/>
                <c:pt idx="0">
                  <c:v>DESVIACIÓN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(CIERRE!$C$20,CIERRE!$C$32,CIERRE!$C$43,CIERRE!$C$53,CIERRE!$C$67,CIERRE!$C$77,CIERRE!$C$79)</c:f>
              <c:strCache>
                <c:ptCount val="7"/>
                <c:pt idx="0">
                  <c:v>PERSONAL</c:v>
                </c:pt>
                <c:pt idx="1">
                  <c:v>SUBCONTRATACIONES</c:v>
                </c:pt>
                <c:pt idx="2">
                  <c:v>EQUIPAMIENTO</c:v>
                </c:pt>
                <c:pt idx="3">
                  <c:v>AMORTIZACION HW/SW</c:v>
                </c:pt>
                <c:pt idx="4">
                  <c:v>OTROS GASTOS</c:v>
                </c:pt>
                <c:pt idx="5">
                  <c:v>INGRESOS</c:v>
                </c:pt>
                <c:pt idx="6">
                  <c:v>FACTURACIÓN</c:v>
                </c:pt>
              </c:strCache>
            </c:strRef>
          </c:cat>
          <c:val>
            <c:numRef>
              <c:f>(CIERRE!$L$30,CIERRE!$K$40,CIERRE!$K$51,CIERRE!$L$65,CIERRE!$K$75,CIERRE!$K$94,CIERRE!$K$80)</c:f>
              <c:numCache>
                <c:formatCode>_-* #,##0.00\ [$€-C0A]_-;\-* #,##0.00\ [$€-C0A]_-;_-* \-??\ [$€-C0A]_-;_-@_-</c:formatCode>
                <c:ptCount val="7"/>
                <c:pt idx="0">
                  <c:v>2152.201704545454</c:v>
                </c:pt>
                <c:pt idx="1">
                  <c:v>2228</c:v>
                </c:pt>
                <c:pt idx="2">
                  <c:v>-52</c:v>
                </c:pt>
                <c:pt idx="3">
                  <c:v>0</c:v>
                </c:pt>
                <c:pt idx="4">
                  <c:v>620</c:v>
                </c:pt>
                <c:pt idx="5">
                  <c:v>4948.201704545454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C1-4A54-BA9A-DF7A4624D8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40966656"/>
        <c:axId val="740956320"/>
        <c:axId val="0"/>
      </c:bar3DChart>
      <c:catAx>
        <c:axId val="74096665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740956320"/>
        <c:crosses val="autoZero"/>
        <c:auto val="1"/>
        <c:lblAlgn val="ctr"/>
        <c:lblOffset val="100"/>
        <c:noMultiLvlLbl val="0"/>
      </c:catAx>
      <c:valAx>
        <c:axId val="74095632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740966656"/>
        <c:crosses val="autoZero"/>
        <c:crossBetween val="between"/>
      </c:valAx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E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9360</xdr:colOff>
      <xdr:row>19</xdr:row>
      <xdr:rowOff>19080</xdr:rowOff>
    </xdr:from>
    <xdr:to>
      <xdr:col>13</xdr:col>
      <xdr:colOff>370800</xdr:colOff>
      <xdr:row>39</xdr:row>
      <xdr:rowOff>28080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43</xdr:row>
      <xdr:rowOff>0</xdr:rowOff>
    </xdr:from>
    <xdr:to>
      <xdr:col>13</xdr:col>
      <xdr:colOff>361440</xdr:colOff>
      <xdr:row>63</xdr:row>
      <xdr:rowOff>9000</xdr:rowOff>
    </xdr:to>
    <xdr:graphicFrame macro="">
      <xdr:nvGraphicFramePr>
        <xdr:cNvPr id="3" name="2 Gráfico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12</xdr:col>
      <xdr:colOff>790200</xdr:colOff>
      <xdr:row>119</xdr:row>
      <xdr:rowOff>85320</xdr:rowOff>
    </xdr:to>
    <xdr:graphicFrame macro="">
      <xdr:nvGraphicFramePr>
        <xdr:cNvPr id="2" name="2 Gráfic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showGridLines="0" topLeftCell="A25" zoomScaleNormal="100" workbookViewId="0">
      <selection activeCell="E21" sqref="E21"/>
    </sheetView>
  </sheetViews>
  <sheetFormatPr baseColWidth="10" defaultColWidth="10.7109375" defaultRowHeight="15" x14ac:dyDescent="0.25"/>
  <cols>
    <col min="1" max="1" width="3.7109375" customWidth="1"/>
    <col min="2" max="2" width="50.7109375" customWidth="1"/>
    <col min="3" max="3" width="15.5703125" customWidth="1"/>
    <col min="4" max="4" width="5.7109375" customWidth="1"/>
    <col min="5" max="5" width="50.7109375" customWidth="1"/>
    <col min="6" max="6" width="15.5703125" customWidth="1"/>
  </cols>
  <sheetData>
    <row r="1" spans="1:13" ht="21" x14ac:dyDescent="0.35">
      <c r="A1" s="222" t="s">
        <v>0</v>
      </c>
      <c r="B1" s="222"/>
      <c r="C1" s="222"/>
      <c r="D1" s="222"/>
      <c r="E1" s="222"/>
      <c r="F1" s="222"/>
      <c r="G1" s="1"/>
      <c r="H1" s="1"/>
      <c r="I1" s="1"/>
      <c r="J1" s="1"/>
      <c r="K1" s="1"/>
      <c r="L1" s="1"/>
      <c r="M1" s="1"/>
    </row>
    <row r="3" spans="1:13" x14ac:dyDescent="0.25">
      <c r="B3" s="223" t="s">
        <v>1</v>
      </c>
      <c r="C3" s="223"/>
      <c r="D3" s="223"/>
      <c r="E3" s="223"/>
      <c r="F3" s="2">
        <f>+F23/C23</f>
        <v>0.38795477180854182</v>
      </c>
    </row>
    <row r="5" spans="1:13" x14ac:dyDescent="0.25">
      <c r="B5" s="224" t="s">
        <v>2</v>
      </c>
      <c r="C5" s="224"/>
      <c r="E5" s="224" t="s">
        <v>3</v>
      </c>
      <c r="F5" s="224"/>
    </row>
    <row r="6" spans="1:13" x14ac:dyDescent="0.25">
      <c r="B6" s="3" t="s">
        <v>4</v>
      </c>
      <c r="C6" s="4" t="s">
        <v>5</v>
      </c>
      <c r="E6" s="3" t="s">
        <v>4</v>
      </c>
      <c r="F6" s="4" t="s">
        <v>5</v>
      </c>
    </row>
    <row r="7" spans="1:13" x14ac:dyDescent="0.25">
      <c r="B7" s="5" t="s">
        <v>159</v>
      </c>
      <c r="C7" s="6">
        <v>80000</v>
      </c>
      <c r="E7" s="5" t="s">
        <v>162</v>
      </c>
      <c r="F7" s="7">
        <v>80000</v>
      </c>
    </row>
    <row r="8" spans="1:13" x14ac:dyDescent="0.25">
      <c r="B8" s="8" t="s">
        <v>32</v>
      </c>
      <c r="C8" s="7">
        <v>120000</v>
      </c>
      <c r="E8" s="8" t="s">
        <v>163</v>
      </c>
      <c r="F8" s="7">
        <v>45000</v>
      </c>
    </row>
    <row r="9" spans="1:13" x14ac:dyDescent="0.25">
      <c r="B9" s="8" t="s">
        <v>38</v>
      </c>
      <c r="C9" s="7">
        <v>32000</v>
      </c>
      <c r="E9" s="8" t="s">
        <v>164</v>
      </c>
      <c r="F9" s="7">
        <v>51000</v>
      </c>
    </row>
    <row r="10" spans="1:13" x14ac:dyDescent="0.25">
      <c r="B10" s="8" t="s">
        <v>160</v>
      </c>
      <c r="C10" s="7">
        <v>32000</v>
      </c>
      <c r="E10" s="9" t="s">
        <v>165</v>
      </c>
      <c r="F10" s="10">
        <v>18000</v>
      </c>
    </row>
    <row r="11" spans="1:13" x14ac:dyDescent="0.25">
      <c r="B11" s="8" t="s">
        <v>35</v>
      </c>
      <c r="C11" s="7">
        <v>337500</v>
      </c>
      <c r="E11" s="8" t="s">
        <v>167</v>
      </c>
      <c r="F11" s="7">
        <v>36000</v>
      </c>
    </row>
    <row r="12" spans="1:13" x14ac:dyDescent="0.25">
      <c r="B12" s="8" t="s">
        <v>161</v>
      </c>
      <c r="C12" s="7">
        <v>20000</v>
      </c>
      <c r="E12" s="8" t="s">
        <v>168</v>
      </c>
      <c r="F12" s="7">
        <v>1500</v>
      </c>
    </row>
    <row r="13" spans="1:13" x14ac:dyDescent="0.25">
      <c r="B13" s="8" t="s">
        <v>166</v>
      </c>
      <c r="C13" s="7">
        <v>35000</v>
      </c>
      <c r="E13" s="8" t="s">
        <v>169</v>
      </c>
      <c r="F13" s="7">
        <v>6000</v>
      </c>
    </row>
    <row r="14" spans="1:13" x14ac:dyDescent="0.25">
      <c r="B14" s="8" t="s">
        <v>176</v>
      </c>
      <c r="C14" s="7">
        <f>0.3*(SUM(C7:C13))</f>
        <v>196950</v>
      </c>
      <c r="E14" s="8" t="s">
        <v>170</v>
      </c>
      <c r="F14" s="7">
        <v>3600</v>
      </c>
    </row>
    <row r="15" spans="1:13" x14ac:dyDescent="0.25">
      <c r="B15" s="8"/>
      <c r="C15" s="7"/>
      <c r="E15" s="8" t="s">
        <v>171</v>
      </c>
      <c r="F15" s="7">
        <v>12000</v>
      </c>
    </row>
    <row r="16" spans="1:13" x14ac:dyDescent="0.25">
      <c r="B16" s="8"/>
      <c r="C16" s="7"/>
      <c r="E16" s="8" t="s">
        <v>172</v>
      </c>
      <c r="F16" s="7">
        <v>2000</v>
      </c>
    </row>
    <row r="17" spans="2:6" x14ac:dyDescent="0.25">
      <c r="B17" s="8"/>
      <c r="C17" s="7"/>
      <c r="E17" s="8" t="s">
        <v>173</v>
      </c>
      <c r="F17" s="7">
        <v>4800</v>
      </c>
    </row>
    <row r="18" spans="2:6" x14ac:dyDescent="0.25">
      <c r="B18" s="8"/>
      <c r="C18" s="7"/>
      <c r="E18" s="8" t="s">
        <v>174</v>
      </c>
      <c r="F18" s="7">
        <v>5000</v>
      </c>
    </row>
    <row r="19" spans="2:6" x14ac:dyDescent="0.25">
      <c r="B19" s="8"/>
      <c r="C19" s="7"/>
      <c r="E19" s="8" t="s">
        <v>175</v>
      </c>
      <c r="F19" s="7">
        <v>8000</v>
      </c>
    </row>
    <row r="20" spans="2:6" x14ac:dyDescent="0.25">
      <c r="B20" s="8"/>
      <c r="C20" s="7"/>
      <c r="E20" s="8" t="s">
        <v>176</v>
      </c>
      <c r="F20" s="7">
        <f>0.3*(SUM(F7:F10))</f>
        <v>58200</v>
      </c>
    </row>
    <row r="21" spans="2:6" x14ac:dyDescent="0.25">
      <c r="B21" s="8"/>
      <c r="C21" s="7"/>
      <c r="E21" s="8"/>
      <c r="F21" s="7"/>
    </row>
    <row r="22" spans="2:6" x14ac:dyDescent="0.25">
      <c r="B22" s="11"/>
      <c r="C22" s="12"/>
      <c r="E22" s="11"/>
      <c r="F22" s="12"/>
    </row>
    <row r="23" spans="2:6" x14ac:dyDescent="0.25">
      <c r="B23" s="13" t="s">
        <v>6</v>
      </c>
      <c r="C23" s="14">
        <f>SUM(C7:C22)</f>
        <v>853450</v>
      </c>
      <c r="E23" s="13" t="s">
        <v>6</v>
      </c>
      <c r="F23" s="14">
        <f>SUM(F7:F22)</f>
        <v>331100</v>
      </c>
    </row>
  </sheetData>
  <mergeCells count="4">
    <mergeCell ref="A1:F1"/>
    <mergeCell ref="B3:E3"/>
    <mergeCell ref="B5:C5"/>
    <mergeCell ref="E5:F5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98"/>
  <sheetViews>
    <sheetView showGridLines="0" topLeftCell="A28" zoomScaleNormal="100" workbookViewId="0">
      <selection activeCell="E38" sqref="E38:H38"/>
    </sheetView>
  </sheetViews>
  <sheetFormatPr baseColWidth="10" defaultColWidth="10.7109375" defaultRowHeight="15" outlineLevelRow="1" x14ac:dyDescent="0.25"/>
  <cols>
    <col min="1" max="2" width="6.7109375" customWidth="1"/>
    <col min="3" max="3" width="12" customWidth="1"/>
    <col min="6" max="6" width="12" customWidth="1"/>
    <col min="11" max="11" width="12" customWidth="1"/>
    <col min="12" max="12" width="14.5703125" customWidth="1"/>
    <col min="13" max="13" width="12" customWidth="1"/>
    <col min="14" max="14" width="13" customWidth="1"/>
  </cols>
  <sheetData>
    <row r="1" spans="1:14" ht="21" x14ac:dyDescent="0.35">
      <c r="A1" s="222" t="s">
        <v>7</v>
      </c>
      <c r="B1" s="222"/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22"/>
    </row>
    <row r="3" spans="1:14" x14ac:dyDescent="0.25">
      <c r="A3" s="256" t="s">
        <v>8</v>
      </c>
      <c r="B3" s="256"/>
      <c r="C3" s="256"/>
      <c r="D3" s="256"/>
      <c r="E3" s="256"/>
      <c r="F3" s="256"/>
      <c r="G3" s="256"/>
      <c r="H3" s="256"/>
      <c r="I3" s="256"/>
      <c r="J3" s="256"/>
      <c r="K3" s="256"/>
      <c r="L3" s="256"/>
      <c r="M3" s="256"/>
      <c r="N3" s="256"/>
    </row>
    <row r="5" spans="1:14" x14ac:dyDescent="0.25">
      <c r="A5" s="254" t="s">
        <v>9</v>
      </c>
      <c r="B5" s="254"/>
      <c r="C5" s="257" t="s">
        <v>177</v>
      </c>
      <c r="D5" s="257"/>
      <c r="E5" s="257"/>
      <c r="F5" s="257"/>
      <c r="G5" s="257"/>
      <c r="H5" s="257"/>
      <c r="J5" s="254" t="s">
        <v>10</v>
      </c>
      <c r="K5" s="254"/>
      <c r="L5" s="258" t="s">
        <v>178</v>
      </c>
      <c r="M5" s="258"/>
      <c r="N5" s="258"/>
    </row>
    <row r="6" spans="1:14" x14ac:dyDescent="0.25">
      <c r="A6" t="s">
        <v>11</v>
      </c>
      <c r="C6" s="259" t="s">
        <v>179</v>
      </c>
      <c r="D6" s="259"/>
      <c r="E6" s="259"/>
      <c r="F6" s="259"/>
      <c r="G6" s="259"/>
      <c r="H6" s="259"/>
      <c r="J6" s="254" t="s">
        <v>12</v>
      </c>
      <c r="K6" s="254"/>
      <c r="L6" s="259" t="s">
        <v>180</v>
      </c>
      <c r="M6" s="259"/>
      <c r="N6" s="259"/>
    </row>
    <row r="7" spans="1:14" x14ac:dyDescent="0.25">
      <c r="C7" s="15"/>
    </row>
    <row r="8" spans="1:14" x14ac:dyDescent="0.25">
      <c r="A8" s="254" t="s">
        <v>13</v>
      </c>
      <c r="B8" s="254"/>
      <c r="C8" s="255">
        <v>44562</v>
      </c>
      <c r="D8" s="255"/>
      <c r="E8" s="255"/>
      <c r="F8" s="255"/>
      <c r="G8" s="16"/>
      <c r="H8" s="16"/>
      <c r="J8" s="254" t="s">
        <v>14</v>
      </c>
      <c r="K8" s="254"/>
      <c r="L8" s="255">
        <v>44925</v>
      </c>
      <c r="M8" s="255"/>
      <c r="N8" s="255"/>
    </row>
    <row r="9" spans="1:14" x14ac:dyDescent="0.25">
      <c r="C9" s="15"/>
      <c r="F9" s="17"/>
    </row>
    <row r="10" spans="1:14" x14ac:dyDescent="0.25">
      <c r="B10" s="18"/>
      <c r="J10" s="254" t="s">
        <v>15</v>
      </c>
      <c r="K10" s="254"/>
      <c r="L10" s="254"/>
      <c r="M10" s="19">
        <f>+N94</f>
        <v>97148.990151515143</v>
      </c>
      <c r="N10" s="20" t="s">
        <v>16</v>
      </c>
    </row>
    <row r="11" spans="1:14" x14ac:dyDescent="0.25">
      <c r="J11" s="254" t="s">
        <v>17</v>
      </c>
      <c r="K11" s="254"/>
      <c r="L11" s="254"/>
      <c r="M11" s="21">
        <f>+G31</f>
        <v>3212</v>
      </c>
      <c r="N11" s="20" t="s">
        <v>18</v>
      </c>
    </row>
    <row r="12" spans="1:14" x14ac:dyDescent="0.25">
      <c r="J12" s="254" t="s">
        <v>19</v>
      </c>
      <c r="K12" s="254"/>
      <c r="L12" s="254"/>
      <c r="M12" s="22">
        <f>100*(N94-N81)/N81</f>
        <v>27.137575374643745</v>
      </c>
      <c r="N12" s="20" t="s">
        <v>20</v>
      </c>
    </row>
    <row r="14" spans="1:14" x14ac:dyDescent="0.25">
      <c r="A14" s="226" t="s">
        <v>21</v>
      </c>
      <c r="B14" s="226"/>
      <c r="C14" s="226"/>
      <c r="D14" s="226"/>
      <c r="E14" s="226"/>
      <c r="F14" s="226"/>
      <c r="G14" s="226"/>
      <c r="H14" s="226"/>
      <c r="I14" s="226"/>
      <c r="J14" s="226"/>
      <c r="K14" s="226"/>
      <c r="L14" s="226"/>
      <c r="M14" s="226"/>
      <c r="N14" s="226"/>
    </row>
    <row r="15" spans="1:14" x14ac:dyDescent="0.25">
      <c r="C15" s="15"/>
      <c r="F15" s="15"/>
    </row>
    <row r="16" spans="1:14" x14ac:dyDescent="0.25">
      <c r="B16" s="23" t="s">
        <v>22</v>
      </c>
      <c r="C16" s="227" t="s">
        <v>23</v>
      </c>
      <c r="D16" s="227"/>
      <c r="E16" s="227"/>
      <c r="F16" s="227"/>
      <c r="G16" s="227"/>
      <c r="H16" s="227"/>
      <c r="I16" s="227"/>
      <c r="J16" s="227"/>
      <c r="K16" s="227"/>
      <c r="L16" s="227"/>
      <c r="M16" s="227"/>
      <c r="N16" s="227"/>
    </row>
    <row r="17" spans="3:14" outlineLevel="1" x14ac:dyDescent="0.25">
      <c r="C17" s="15"/>
      <c r="F17" s="15"/>
      <c r="J17" s="223" t="s">
        <v>1</v>
      </c>
      <c r="K17" s="223"/>
      <c r="L17" s="223"/>
      <c r="M17" s="223"/>
      <c r="N17" s="25">
        <f>+OVERHEAD!F3</f>
        <v>0.38795477180854182</v>
      </c>
    </row>
    <row r="18" spans="3:14" outlineLevel="1" x14ac:dyDescent="0.25">
      <c r="C18" s="15"/>
      <c r="F18" s="15"/>
      <c r="J18" s="230" t="s">
        <v>24</v>
      </c>
      <c r="K18" s="230"/>
      <c r="L18" s="230"/>
      <c r="M18" s="230"/>
      <c r="N18" s="26">
        <v>0.3</v>
      </c>
    </row>
    <row r="19" spans="3:14" outlineLevel="1" x14ac:dyDescent="0.25">
      <c r="C19" s="15"/>
      <c r="F19" s="15"/>
      <c r="J19" s="230" t="s">
        <v>25</v>
      </c>
      <c r="K19" s="230"/>
      <c r="L19" s="230"/>
      <c r="M19" s="230"/>
      <c r="N19" s="26">
        <v>0.05</v>
      </c>
    </row>
    <row r="20" spans="3:14" outlineLevel="1" x14ac:dyDescent="0.25"/>
    <row r="21" spans="3:14" outlineLevel="1" x14ac:dyDescent="0.25">
      <c r="C21" s="250" t="s">
        <v>23</v>
      </c>
      <c r="D21" s="250"/>
      <c r="E21" s="250"/>
      <c r="F21" s="250"/>
      <c r="G21" s="27" t="s">
        <v>26</v>
      </c>
      <c r="H21" s="241" t="s">
        <v>27</v>
      </c>
      <c r="I21" s="241"/>
      <c r="J21" s="251" t="s">
        <v>28</v>
      </c>
      <c r="K21" s="251"/>
      <c r="L21" s="27" t="s">
        <v>29</v>
      </c>
      <c r="M21" s="29" t="s">
        <v>30</v>
      </c>
      <c r="N21" s="30" t="s">
        <v>31</v>
      </c>
    </row>
    <row r="22" spans="3:14" outlineLevel="1" x14ac:dyDescent="0.25">
      <c r="C22" s="243" t="s">
        <v>32</v>
      </c>
      <c r="D22" s="243"/>
      <c r="E22" s="243"/>
      <c r="F22" s="243"/>
      <c r="G22" s="31">
        <v>710</v>
      </c>
      <c r="H22" s="252">
        <f>30000/1760</f>
        <v>17.045454545454547</v>
      </c>
      <c r="I22" s="252"/>
      <c r="J22" s="253">
        <f t="shared" ref="J22:J29" si="0">+H22*$N$18</f>
        <v>5.1136363636363642</v>
      </c>
      <c r="K22" s="253"/>
      <c r="L22" s="32">
        <f t="shared" ref="L22:L29" si="1">+(H22+J22)*$N$19</f>
        <v>1.1079545454545456</v>
      </c>
      <c r="M22" s="32">
        <f t="shared" ref="M22:M29" si="2">+L22+J22+H22</f>
        <v>23.267045454545457</v>
      </c>
      <c r="N22" s="33">
        <f t="shared" ref="N22:N29" si="3">+M22*G22</f>
        <v>16519.602272727276</v>
      </c>
    </row>
    <row r="23" spans="3:14" outlineLevel="1" x14ac:dyDescent="0.25">
      <c r="C23" s="237" t="s">
        <v>33</v>
      </c>
      <c r="D23" s="237"/>
      <c r="E23" s="237"/>
      <c r="F23" s="237"/>
      <c r="G23" s="31">
        <v>100</v>
      </c>
      <c r="H23" s="246">
        <f>20000/1760</f>
        <v>11.363636363636363</v>
      </c>
      <c r="I23" s="246"/>
      <c r="J23" s="247">
        <f t="shared" si="0"/>
        <v>3.4090909090909087</v>
      </c>
      <c r="K23" s="247"/>
      <c r="L23" s="35">
        <f t="shared" si="1"/>
        <v>0.73863636363636365</v>
      </c>
      <c r="M23" s="35">
        <f t="shared" si="2"/>
        <v>15.511363636363637</v>
      </c>
      <c r="N23" s="36">
        <f t="shared" si="3"/>
        <v>1551.1363636363637</v>
      </c>
    </row>
    <row r="24" spans="3:14" outlineLevel="1" x14ac:dyDescent="0.25">
      <c r="C24" s="237" t="s">
        <v>34</v>
      </c>
      <c r="D24" s="237"/>
      <c r="E24" s="237"/>
      <c r="F24" s="237"/>
      <c r="G24" s="31">
        <v>250</v>
      </c>
      <c r="H24" s="246">
        <f>40000/1760</f>
        <v>22.727272727272727</v>
      </c>
      <c r="I24" s="246"/>
      <c r="J24" s="247">
        <f t="shared" si="0"/>
        <v>6.8181818181818175</v>
      </c>
      <c r="K24" s="247"/>
      <c r="L24" s="35">
        <f t="shared" si="1"/>
        <v>1.4772727272727273</v>
      </c>
      <c r="M24" s="35">
        <f t="shared" si="2"/>
        <v>31.022727272727273</v>
      </c>
      <c r="N24" s="36">
        <f t="shared" si="3"/>
        <v>7755.681818181818</v>
      </c>
    </row>
    <row r="25" spans="3:14" outlineLevel="1" x14ac:dyDescent="0.25">
      <c r="C25" s="237" t="s">
        <v>35</v>
      </c>
      <c r="D25" s="237"/>
      <c r="E25" s="237"/>
      <c r="F25" s="237"/>
      <c r="G25" s="31">
        <v>1720</v>
      </c>
      <c r="H25" s="246">
        <f>22500/1760</f>
        <v>12.784090909090908</v>
      </c>
      <c r="I25" s="246"/>
      <c r="J25" s="247">
        <f t="shared" si="0"/>
        <v>3.8352272727272725</v>
      </c>
      <c r="K25" s="247"/>
      <c r="L25" s="35">
        <f t="shared" si="1"/>
        <v>0.83096590909090906</v>
      </c>
      <c r="M25" s="35">
        <f t="shared" si="2"/>
        <v>17.45028409090909</v>
      </c>
      <c r="N25" s="36">
        <f t="shared" si="3"/>
        <v>30014.488636363636</v>
      </c>
    </row>
    <row r="26" spans="3:14" outlineLevel="1" x14ac:dyDescent="0.25">
      <c r="C26" s="37" t="s">
        <v>36</v>
      </c>
      <c r="D26" s="38"/>
      <c r="E26" s="38"/>
      <c r="F26" s="39"/>
      <c r="G26" s="31">
        <v>232</v>
      </c>
      <c r="H26" s="246">
        <f>35000/1760</f>
        <v>19.886363636363637</v>
      </c>
      <c r="I26" s="246"/>
      <c r="J26" s="247">
        <f t="shared" si="0"/>
        <v>5.9659090909090908</v>
      </c>
      <c r="K26" s="247"/>
      <c r="L26" s="35">
        <f t="shared" si="1"/>
        <v>1.2926136363636365</v>
      </c>
      <c r="M26" s="35">
        <f t="shared" si="2"/>
        <v>27.144886363636363</v>
      </c>
      <c r="N26" s="36">
        <f t="shared" si="3"/>
        <v>6297.613636363636</v>
      </c>
    </row>
    <row r="27" spans="3:14" outlineLevel="1" x14ac:dyDescent="0.25">
      <c r="C27" s="237" t="s">
        <v>37</v>
      </c>
      <c r="D27" s="237"/>
      <c r="E27" s="237"/>
      <c r="F27" s="237"/>
      <c r="G27" s="31">
        <v>100</v>
      </c>
      <c r="H27" s="246">
        <f>32000/1760</f>
        <v>18.181818181818183</v>
      </c>
      <c r="I27" s="246"/>
      <c r="J27" s="247">
        <f t="shared" si="0"/>
        <v>5.454545454545455</v>
      </c>
      <c r="K27" s="247"/>
      <c r="L27" s="35">
        <f t="shared" si="1"/>
        <v>1.1818181818181821</v>
      </c>
      <c r="M27" s="35">
        <f t="shared" si="2"/>
        <v>24.81818181818182</v>
      </c>
      <c r="N27" s="36">
        <f t="shared" si="3"/>
        <v>2481.818181818182</v>
      </c>
    </row>
    <row r="28" spans="3:14" outlineLevel="1" x14ac:dyDescent="0.25">
      <c r="C28" s="237" t="s">
        <v>38</v>
      </c>
      <c r="D28" s="237"/>
      <c r="E28" s="237"/>
      <c r="F28" s="237"/>
      <c r="G28" s="31">
        <v>100</v>
      </c>
      <c r="H28" s="246">
        <f>32000/1760</f>
        <v>18.181818181818183</v>
      </c>
      <c r="I28" s="246"/>
      <c r="J28" s="247">
        <f t="shared" si="0"/>
        <v>5.454545454545455</v>
      </c>
      <c r="K28" s="247"/>
      <c r="L28" s="35">
        <f t="shared" si="1"/>
        <v>1.1818181818181821</v>
      </c>
      <c r="M28" s="35">
        <f t="shared" si="2"/>
        <v>24.81818181818182</v>
      </c>
      <c r="N28" s="36">
        <f t="shared" si="3"/>
        <v>2481.818181818182</v>
      </c>
    </row>
    <row r="29" spans="3:14" outlineLevel="1" x14ac:dyDescent="0.25">
      <c r="C29" s="235" t="s">
        <v>39</v>
      </c>
      <c r="D29" s="235"/>
      <c r="E29" s="235"/>
      <c r="F29" s="235"/>
      <c r="G29" s="40"/>
      <c r="H29" s="248"/>
      <c r="I29" s="248"/>
      <c r="J29" s="249">
        <f t="shared" si="0"/>
        <v>0</v>
      </c>
      <c r="K29" s="249"/>
      <c r="L29" s="42">
        <f t="shared" si="1"/>
        <v>0</v>
      </c>
      <c r="M29" s="42">
        <f t="shared" si="2"/>
        <v>0</v>
      </c>
      <c r="N29" s="43">
        <f t="shared" si="3"/>
        <v>0</v>
      </c>
    </row>
    <row r="30" spans="3:14" outlineLevel="1" x14ac:dyDescent="0.25"/>
    <row r="31" spans="3:14" x14ac:dyDescent="0.25">
      <c r="C31" s="244" t="s">
        <v>40</v>
      </c>
      <c r="D31" s="244"/>
      <c r="E31" s="244"/>
      <c r="F31" s="244"/>
      <c r="G31" s="44">
        <f>SUM(G22:G29)</f>
        <v>3212</v>
      </c>
      <c r="H31" s="245"/>
      <c r="I31" s="245"/>
      <c r="J31" s="45"/>
      <c r="K31" s="236" t="s">
        <v>41</v>
      </c>
      <c r="L31" s="236"/>
      <c r="M31" s="236"/>
      <c r="N31" s="46">
        <f>SUM(N22:N29)</f>
        <v>67102.159090909088</v>
      </c>
    </row>
    <row r="33" spans="2:14" x14ac:dyDescent="0.25">
      <c r="B33" s="23" t="s">
        <v>42</v>
      </c>
      <c r="C33" s="227" t="s">
        <v>43</v>
      </c>
      <c r="D33" s="227"/>
      <c r="E33" s="227"/>
      <c r="F33" s="227"/>
      <c r="G33" s="227"/>
      <c r="H33" s="227"/>
      <c r="I33" s="227"/>
      <c r="J33" s="227"/>
      <c r="K33" s="227"/>
      <c r="L33" s="227"/>
      <c r="M33" s="227"/>
      <c r="N33" s="227"/>
    </row>
    <row r="34" spans="2:14" x14ac:dyDescent="0.25">
      <c r="B34" s="23"/>
      <c r="C34" s="47"/>
      <c r="D34" s="47"/>
      <c r="E34" s="47"/>
      <c r="F34" s="47"/>
      <c r="G34" s="47"/>
      <c r="H34" s="47"/>
      <c r="I34" s="223" t="s">
        <v>44</v>
      </c>
      <c r="J34" s="223"/>
      <c r="K34" s="223"/>
      <c r="L34" s="223"/>
      <c r="M34" s="223"/>
      <c r="N34" s="26"/>
    </row>
    <row r="35" spans="2:14" outlineLevel="1" x14ac:dyDescent="0.25"/>
    <row r="36" spans="2:14" outlineLevel="1" x14ac:dyDescent="0.25">
      <c r="C36" s="240" t="s">
        <v>45</v>
      </c>
      <c r="D36" s="240"/>
      <c r="E36" s="240" t="s">
        <v>46</v>
      </c>
      <c r="F36" s="240"/>
      <c r="G36" s="240"/>
      <c r="H36" s="240"/>
      <c r="I36" s="27" t="s">
        <v>47</v>
      </c>
      <c r="J36" s="241" t="s">
        <v>48</v>
      </c>
      <c r="K36" s="241"/>
      <c r="L36" s="27" t="s">
        <v>49</v>
      </c>
      <c r="M36" s="27" t="s">
        <v>50</v>
      </c>
      <c r="N36" s="30" t="s">
        <v>31</v>
      </c>
    </row>
    <row r="37" spans="2:14" outlineLevel="1" x14ac:dyDescent="0.25">
      <c r="C37" s="234" t="s">
        <v>199</v>
      </c>
      <c r="D37" s="234"/>
      <c r="E37" s="315">
        <v>2150</v>
      </c>
      <c r="F37" s="243"/>
      <c r="G37" s="243"/>
      <c r="H37" s="243"/>
      <c r="I37" s="48"/>
      <c r="J37" s="238"/>
      <c r="K37" s="238"/>
      <c r="L37" s="32">
        <f>+J37*$N$34</f>
        <v>0</v>
      </c>
      <c r="M37" s="49">
        <f>+L37+J37</f>
        <v>0</v>
      </c>
      <c r="N37" s="33">
        <f>+I37*M37</f>
        <v>0</v>
      </c>
    </row>
    <row r="38" spans="2:14" outlineLevel="1" x14ac:dyDescent="0.25">
      <c r="C38" s="234" t="s">
        <v>200</v>
      </c>
      <c r="D38" s="234"/>
      <c r="E38" s="237" t="s">
        <v>201</v>
      </c>
      <c r="F38" s="237"/>
      <c r="G38" s="237"/>
      <c r="H38" s="237"/>
      <c r="I38" s="48"/>
      <c r="J38" s="238"/>
      <c r="K38" s="238"/>
      <c r="L38" s="35">
        <f>+J38*$N$34</f>
        <v>0</v>
      </c>
      <c r="M38" s="50">
        <f>+L38+J38</f>
        <v>0</v>
      </c>
      <c r="N38" s="36">
        <f>+I38*M38</f>
        <v>0</v>
      </c>
    </row>
    <row r="39" spans="2:14" outlineLevel="1" x14ac:dyDescent="0.25">
      <c r="C39" s="234"/>
      <c r="D39" s="234"/>
      <c r="E39" s="237"/>
      <c r="F39" s="237"/>
      <c r="G39" s="237"/>
      <c r="H39" s="237"/>
      <c r="I39" s="48"/>
      <c r="J39" s="238"/>
      <c r="K39" s="238"/>
      <c r="L39" s="35">
        <f>+J39*$N$34</f>
        <v>0</v>
      </c>
      <c r="M39" s="50">
        <f>+L39+J39</f>
        <v>0</v>
      </c>
      <c r="N39" s="36">
        <f>+I39*M39</f>
        <v>0</v>
      </c>
    </row>
    <row r="40" spans="2:14" outlineLevel="1" x14ac:dyDescent="0.25">
      <c r="C40" s="235" t="s">
        <v>39</v>
      </c>
      <c r="D40" s="235"/>
      <c r="E40" s="239"/>
      <c r="F40" s="239"/>
      <c r="G40" s="239"/>
      <c r="H40" s="239"/>
      <c r="I40" s="51"/>
      <c r="J40" s="52"/>
      <c r="K40" s="53"/>
      <c r="L40" s="42">
        <f>+J40*$N$34</f>
        <v>0</v>
      </c>
      <c r="M40" s="54">
        <f>+L40+J40</f>
        <v>0</v>
      </c>
      <c r="N40" s="43">
        <f>+I40*M40</f>
        <v>0</v>
      </c>
    </row>
    <row r="41" spans="2:14" outlineLevel="1" x14ac:dyDescent="0.25"/>
    <row r="42" spans="2:14" x14ac:dyDescent="0.25">
      <c r="C42" s="230"/>
      <c r="D42" s="230"/>
      <c r="E42" s="230"/>
      <c r="F42" s="230"/>
      <c r="G42" s="230"/>
      <c r="H42" s="230"/>
      <c r="I42" s="55"/>
      <c r="J42" s="56"/>
      <c r="K42" s="236" t="s">
        <v>51</v>
      </c>
      <c r="L42" s="236"/>
      <c r="M42" s="236"/>
      <c r="N42" s="57">
        <f>SUM(N37:N40)</f>
        <v>0</v>
      </c>
    </row>
    <row r="44" spans="2:14" x14ac:dyDescent="0.25">
      <c r="B44" s="23" t="s">
        <v>52</v>
      </c>
      <c r="C44" s="227" t="s">
        <v>53</v>
      </c>
      <c r="D44" s="227"/>
      <c r="E44" s="227"/>
      <c r="F44" s="227"/>
      <c r="G44" s="227"/>
      <c r="H44" s="227"/>
      <c r="I44" s="227"/>
      <c r="J44" s="227"/>
      <c r="K44" s="227"/>
      <c r="L44" s="227"/>
      <c r="M44" s="227"/>
      <c r="N44" s="227"/>
    </row>
    <row r="45" spans="2:14" x14ac:dyDescent="0.25">
      <c r="B45" s="23"/>
      <c r="C45" s="47"/>
      <c r="D45" s="47"/>
      <c r="E45" s="47"/>
      <c r="F45" s="47"/>
      <c r="G45" s="47"/>
      <c r="H45" s="47"/>
      <c r="I45" s="47"/>
      <c r="J45" s="230" t="s">
        <v>54</v>
      </c>
      <c r="K45" s="230"/>
      <c r="L45" s="230"/>
      <c r="M45" s="230"/>
      <c r="N45" s="26">
        <v>0.02</v>
      </c>
    </row>
    <row r="46" spans="2:14" outlineLevel="1" x14ac:dyDescent="0.25"/>
    <row r="47" spans="2:14" outlineLevel="1" x14ac:dyDescent="0.25">
      <c r="C47" s="240" t="s">
        <v>55</v>
      </c>
      <c r="D47" s="240"/>
      <c r="E47" s="240" t="s">
        <v>56</v>
      </c>
      <c r="F47" s="240"/>
      <c r="G47" s="240"/>
      <c r="H47" s="240"/>
      <c r="I47" s="27" t="s">
        <v>47</v>
      </c>
      <c r="J47" s="241" t="s">
        <v>48</v>
      </c>
      <c r="K47" s="241"/>
      <c r="L47" s="27" t="s">
        <v>49</v>
      </c>
      <c r="M47" s="27" t="s">
        <v>50</v>
      </c>
      <c r="N47" s="30" t="s">
        <v>31</v>
      </c>
    </row>
    <row r="48" spans="2:14" outlineLevel="1" x14ac:dyDescent="0.25">
      <c r="C48" s="242" t="s">
        <v>181</v>
      </c>
      <c r="D48" s="242"/>
      <c r="E48" s="243" t="s">
        <v>183</v>
      </c>
      <c r="F48" s="243"/>
      <c r="G48" s="243"/>
      <c r="H48" s="243"/>
      <c r="I48" s="48">
        <v>1</v>
      </c>
      <c r="J48" s="238">
        <v>4800</v>
      </c>
      <c r="K48" s="238"/>
      <c r="L48" s="32">
        <f>+J48*$N$45</f>
        <v>96</v>
      </c>
      <c r="M48" s="49">
        <f>+L48+J48</f>
        <v>4896</v>
      </c>
      <c r="N48" s="33">
        <f>+M48*I48</f>
        <v>4896</v>
      </c>
    </row>
    <row r="49" spans="2:16" outlineLevel="1" x14ac:dyDescent="0.25">
      <c r="C49" s="234" t="s">
        <v>182</v>
      </c>
      <c r="D49" s="234"/>
      <c r="E49" s="237" t="s">
        <v>184</v>
      </c>
      <c r="F49" s="237"/>
      <c r="G49" s="237"/>
      <c r="H49" s="237"/>
      <c r="I49" s="48">
        <v>1</v>
      </c>
      <c r="J49" s="238">
        <v>250</v>
      </c>
      <c r="K49" s="238"/>
      <c r="L49" s="35">
        <f>+J49*$N$45</f>
        <v>5</v>
      </c>
      <c r="M49" s="50">
        <f>+L49+J49</f>
        <v>255</v>
      </c>
      <c r="N49" s="36">
        <f>+M49*I49</f>
        <v>255</v>
      </c>
    </row>
    <row r="50" spans="2:16" outlineLevel="1" x14ac:dyDescent="0.25">
      <c r="C50" s="234"/>
      <c r="D50" s="234"/>
      <c r="E50" s="237"/>
      <c r="F50" s="237"/>
      <c r="G50" s="237"/>
      <c r="H50" s="237"/>
      <c r="I50" s="48"/>
      <c r="J50" s="238"/>
      <c r="K50" s="238"/>
      <c r="L50" s="35">
        <f>+J50*$N$45</f>
        <v>0</v>
      </c>
      <c r="M50" s="50">
        <f>+L50+J50</f>
        <v>0</v>
      </c>
      <c r="N50" s="36">
        <f>+M50*I50</f>
        <v>0</v>
      </c>
    </row>
    <row r="51" spans="2:16" outlineLevel="1" x14ac:dyDescent="0.25">
      <c r="C51" s="235" t="s">
        <v>39</v>
      </c>
      <c r="D51" s="235"/>
      <c r="E51" s="239"/>
      <c r="F51" s="239"/>
      <c r="G51" s="239"/>
      <c r="H51" s="239"/>
      <c r="I51" s="51"/>
      <c r="J51" s="52"/>
      <c r="K51" s="53"/>
      <c r="L51" s="42">
        <f>+J51*$N$45</f>
        <v>0</v>
      </c>
      <c r="M51" s="54">
        <f>+L51+J51</f>
        <v>0</v>
      </c>
      <c r="N51" s="43">
        <f>+M51*I51</f>
        <v>0</v>
      </c>
    </row>
    <row r="52" spans="2:16" outlineLevel="1" x14ac:dyDescent="0.25"/>
    <row r="53" spans="2:16" x14ac:dyDescent="0.25">
      <c r="C53" s="230"/>
      <c r="D53" s="230"/>
      <c r="E53" s="230"/>
      <c r="F53" s="230"/>
      <c r="G53" s="230"/>
      <c r="H53" s="230"/>
      <c r="I53" s="55"/>
      <c r="J53" s="56"/>
      <c r="K53" s="236" t="s">
        <v>57</v>
      </c>
      <c r="L53" s="236"/>
      <c r="M53" s="236"/>
      <c r="N53" s="57">
        <f>SUM(N48:N51)</f>
        <v>5151</v>
      </c>
    </row>
    <row r="55" spans="2:16" x14ac:dyDescent="0.25">
      <c r="B55" s="23" t="s">
        <v>58</v>
      </c>
      <c r="C55" s="227" t="s">
        <v>59</v>
      </c>
      <c r="D55" s="227"/>
      <c r="E55" s="227"/>
      <c r="F55" s="227"/>
      <c r="G55" s="227"/>
      <c r="H55" s="227"/>
      <c r="I55" s="227"/>
      <c r="J55" s="227"/>
      <c r="K55" s="227"/>
      <c r="L55" s="227"/>
      <c r="M55" s="227"/>
      <c r="N55" s="227"/>
    </row>
    <row r="56" spans="2:16" outlineLevel="1" x14ac:dyDescent="0.25"/>
    <row r="57" spans="2:16" outlineLevel="1" x14ac:dyDescent="0.25">
      <c r="C57" s="30" t="s">
        <v>60</v>
      </c>
      <c r="D57" s="58" t="s">
        <v>61</v>
      </c>
      <c r="E57" s="27" t="s">
        <v>62</v>
      </c>
      <c r="F57" s="27" t="s">
        <v>63</v>
      </c>
      <c r="G57" s="27" t="s">
        <v>64</v>
      </c>
      <c r="H57" s="27" t="s">
        <v>47</v>
      </c>
      <c r="I57" s="27" t="s">
        <v>65</v>
      </c>
      <c r="J57" s="27" t="s">
        <v>66</v>
      </c>
      <c r="K57" s="27" t="s">
        <v>67</v>
      </c>
      <c r="L57" s="27" t="s">
        <v>68</v>
      </c>
      <c r="M57" s="27" t="s">
        <v>69</v>
      </c>
      <c r="N57" s="30" t="s">
        <v>31</v>
      </c>
      <c r="P57" s="59"/>
    </row>
    <row r="58" spans="2:16" outlineLevel="1" x14ac:dyDescent="0.25">
      <c r="C58" s="60" t="s">
        <v>185</v>
      </c>
      <c r="D58" s="61" t="s">
        <v>192</v>
      </c>
      <c r="E58" s="62">
        <v>850</v>
      </c>
      <c r="F58" s="63">
        <v>43831</v>
      </c>
      <c r="G58" s="63">
        <v>44927</v>
      </c>
      <c r="H58" s="64">
        <v>2</v>
      </c>
      <c r="I58" s="34">
        <f t="shared" ref="I58:I65" si="4">IF(OR(F58="",G58=""),0,E58/DAYS360(F58,G58,TRUE()))</f>
        <v>0.78703703703703709</v>
      </c>
      <c r="J58" s="63">
        <v>44562</v>
      </c>
      <c r="K58" s="63">
        <v>44927</v>
      </c>
      <c r="L58" s="65">
        <f t="shared" ref="L58:L65" si="5">IF(J58&gt;=G58,0,DAYS360(MAX(F58,J58),MIN(G58,K58),TRUE()))</f>
        <v>360</v>
      </c>
      <c r="M58" s="66">
        <v>1</v>
      </c>
      <c r="N58" s="33">
        <f t="shared" ref="N58:N65" si="6">+L58*I58*H58*M58</f>
        <v>566.66666666666674</v>
      </c>
    </row>
    <row r="59" spans="2:16" outlineLevel="1" x14ac:dyDescent="0.25">
      <c r="C59" s="60" t="s">
        <v>186</v>
      </c>
      <c r="D59" s="61" t="s">
        <v>192</v>
      </c>
      <c r="E59" s="62">
        <v>1200</v>
      </c>
      <c r="F59" s="63">
        <v>44348</v>
      </c>
      <c r="G59" s="63">
        <v>45444</v>
      </c>
      <c r="H59" s="64">
        <v>2</v>
      </c>
      <c r="I59" s="34">
        <f t="shared" si="4"/>
        <v>1.1111111111111112</v>
      </c>
      <c r="J59" s="63">
        <v>44562</v>
      </c>
      <c r="K59" s="63">
        <v>44927</v>
      </c>
      <c r="L59" s="65">
        <f t="shared" si="5"/>
        <v>360</v>
      </c>
      <c r="M59" s="66">
        <v>1</v>
      </c>
      <c r="N59" s="36">
        <f t="shared" si="6"/>
        <v>800</v>
      </c>
    </row>
    <row r="60" spans="2:16" outlineLevel="1" x14ac:dyDescent="0.25">
      <c r="C60" s="60" t="s">
        <v>187</v>
      </c>
      <c r="D60" s="61" t="s">
        <v>193</v>
      </c>
      <c r="E60" s="62">
        <v>4800</v>
      </c>
      <c r="F60" s="63">
        <v>43252</v>
      </c>
      <c r="G60" s="63">
        <v>45078</v>
      </c>
      <c r="H60" s="64">
        <v>1</v>
      </c>
      <c r="I60" s="34">
        <f t="shared" si="4"/>
        <v>2.6666666666666665</v>
      </c>
      <c r="J60" s="63">
        <v>44608</v>
      </c>
      <c r="K60" s="63">
        <v>44866</v>
      </c>
      <c r="L60" s="65">
        <f t="shared" si="5"/>
        <v>255</v>
      </c>
      <c r="M60" s="66">
        <v>0.2</v>
      </c>
      <c r="N60" s="36">
        <f t="shared" si="6"/>
        <v>136</v>
      </c>
    </row>
    <row r="61" spans="2:16" outlineLevel="1" x14ac:dyDescent="0.25">
      <c r="C61" s="60" t="s">
        <v>188</v>
      </c>
      <c r="D61" s="61" t="s">
        <v>194</v>
      </c>
      <c r="E61" s="62">
        <v>600</v>
      </c>
      <c r="F61" s="63">
        <v>44075</v>
      </c>
      <c r="G61" s="63">
        <v>44805</v>
      </c>
      <c r="H61" s="64">
        <v>1</v>
      </c>
      <c r="I61" s="34">
        <f t="shared" si="4"/>
        <v>0.83333333333333337</v>
      </c>
      <c r="J61" s="63">
        <v>44866</v>
      </c>
      <c r="K61" s="63">
        <v>44927</v>
      </c>
      <c r="L61" s="65">
        <f t="shared" si="5"/>
        <v>0</v>
      </c>
      <c r="M61" s="66">
        <v>1</v>
      </c>
      <c r="N61" s="36">
        <f t="shared" si="6"/>
        <v>0</v>
      </c>
    </row>
    <row r="62" spans="2:16" outlineLevel="1" x14ac:dyDescent="0.25">
      <c r="C62" s="60" t="s">
        <v>189</v>
      </c>
      <c r="D62" s="61" t="s">
        <v>195</v>
      </c>
      <c r="E62" s="62">
        <v>400</v>
      </c>
      <c r="F62" s="63">
        <v>43132</v>
      </c>
      <c r="G62" s="63">
        <v>44593</v>
      </c>
      <c r="H62" s="64">
        <v>1</v>
      </c>
      <c r="I62" s="34">
        <f t="shared" si="4"/>
        <v>0.27777777777777779</v>
      </c>
      <c r="J62" s="63">
        <v>44562</v>
      </c>
      <c r="K62" s="63">
        <v>44682</v>
      </c>
      <c r="L62" s="65">
        <f t="shared" si="5"/>
        <v>30</v>
      </c>
      <c r="M62" s="66">
        <v>1</v>
      </c>
      <c r="N62" s="36">
        <f t="shared" si="6"/>
        <v>8.3333333333333339</v>
      </c>
    </row>
    <row r="63" spans="2:16" outlineLevel="1" x14ac:dyDescent="0.25">
      <c r="C63" s="60" t="s">
        <v>190</v>
      </c>
      <c r="D63" s="61" t="s">
        <v>195</v>
      </c>
      <c r="E63" s="62">
        <v>500</v>
      </c>
      <c r="F63" s="63">
        <v>42826</v>
      </c>
      <c r="G63" s="63">
        <v>44287</v>
      </c>
      <c r="H63" s="64">
        <v>3</v>
      </c>
      <c r="I63" s="34">
        <f t="shared" si="4"/>
        <v>0.34722222222222221</v>
      </c>
      <c r="J63" s="63">
        <v>44608</v>
      </c>
      <c r="K63" s="63">
        <v>44927</v>
      </c>
      <c r="L63" s="65">
        <f t="shared" si="5"/>
        <v>0</v>
      </c>
      <c r="M63" s="66">
        <v>1</v>
      </c>
      <c r="N63" s="36">
        <f t="shared" si="6"/>
        <v>0</v>
      </c>
    </row>
    <row r="64" spans="2:16" outlineLevel="1" x14ac:dyDescent="0.25">
      <c r="C64" s="60" t="s">
        <v>191</v>
      </c>
      <c r="D64" s="61" t="s">
        <v>195</v>
      </c>
      <c r="E64" s="62">
        <v>2500</v>
      </c>
      <c r="F64" s="63">
        <v>44075</v>
      </c>
      <c r="G64" s="63">
        <v>45536</v>
      </c>
      <c r="H64" s="64">
        <v>2</v>
      </c>
      <c r="I64" s="34">
        <f t="shared" si="4"/>
        <v>1.7361111111111112</v>
      </c>
      <c r="J64" s="63">
        <v>44682</v>
      </c>
      <c r="K64" s="63">
        <v>44927</v>
      </c>
      <c r="L64" s="65">
        <f t="shared" si="5"/>
        <v>240</v>
      </c>
      <c r="M64" s="66">
        <v>1</v>
      </c>
      <c r="N64" s="36">
        <f t="shared" si="6"/>
        <v>833.33333333333337</v>
      </c>
    </row>
    <row r="65" spans="2:16" outlineLevel="1" x14ac:dyDescent="0.25">
      <c r="C65" s="67" t="s">
        <v>70</v>
      </c>
      <c r="D65" s="68"/>
      <c r="E65" s="69"/>
      <c r="F65" s="70"/>
      <c r="G65" s="70"/>
      <c r="H65" s="51"/>
      <c r="I65" s="41">
        <f t="shared" si="4"/>
        <v>0</v>
      </c>
      <c r="J65" s="70"/>
      <c r="K65" s="70"/>
      <c r="L65" s="71">
        <f t="shared" si="5"/>
        <v>0</v>
      </c>
      <c r="M65" s="51"/>
      <c r="N65" s="72">
        <f t="shared" si="6"/>
        <v>0</v>
      </c>
    </row>
    <row r="66" spans="2:16" outlineLevel="1" x14ac:dyDescent="0.25"/>
    <row r="67" spans="2:16" x14ac:dyDescent="0.25">
      <c r="C67" s="230"/>
      <c r="D67" s="230"/>
      <c r="E67" s="230"/>
      <c r="F67" s="230"/>
      <c r="G67" s="230"/>
      <c r="H67" s="230"/>
      <c r="I67" s="55"/>
      <c r="J67" s="56"/>
      <c r="K67" s="236" t="s">
        <v>71</v>
      </c>
      <c r="L67" s="236"/>
      <c r="M67" s="236"/>
      <c r="N67" s="57">
        <f>SUM(N58:N65)</f>
        <v>2344.3333333333335</v>
      </c>
    </row>
    <row r="69" spans="2:16" x14ac:dyDescent="0.25">
      <c r="B69" s="23" t="s">
        <v>72</v>
      </c>
      <c r="C69" s="227" t="s">
        <v>73</v>
      </c>
      <c r="D69" s="227"/>
      <c r="E69" s="227"/>
      <c r="F69" s="227"/>
      <c r="G69" s="227"/>
      <c r="H69" s="227"/>
      <c r="I69" s="227"/>
      <c r="J69" s="227"/>
      <c r="K69" s="227"/>
      <c r="L69" s="227"/>
      <c r="M69" s="227"/>
      <c r="N69" s="227"/>
    </row>
    <row r="70" spans="2:16" x14ac:dyDescent="0.25">
      <c r="B70" s="23"/>
      <c r="C70" s="47"/>
      <c r="D70" s="47"/>
      <c r="E70" s="47"/>
      <c r="F70" s="47"/>
      <c r="G70" s="47"/>
      <c r="H70" s="47"/>
      <c r="I70" s="47"/>
      <c r="J70" s="230" t="s">
        <v>74</v>
      </c>
      <c r="K70" s="230"/>
      <c r="L70" s="230"/>
      <c r="M70" s="230"/>
      <c r="N70" s="26">
        <v>0.1</v>
      </c>
    </row>
    <row r="71" spans="2:16" outlineLevel="1" x14ac:dyDescent="0.25"/>
    <row r="72" spans="2:16" outlineLevel="1" x14ac:dyDescent="0.25">
      <c r="C72" s="231" t="s">
        <v>75</v>
      </c>
      <c r="D72" s="231"/>
      <c r="E72" s="231"/>
      <c r="F72" s="231"/>
      <c r="G72" s="231"/>
      <c r="H72" s="231"/>
      <c r="I72" s="231"/>
      <c r="J72" s="231"/>
      <c r="K72" s="27" t="s">
        <v>47</v>
      </c>
      <c r="L72" s="27" t="s">
        <v>76</v>
      </c>
      <c r="M72" s="27" t="s">
        <v>49</v>
      </c>
      <c r="N72" s="30" t="s">
        <v>31</v>
      </c>
    </row>
    <row r="73" spans="2:16" outlineLevel="1" x14ac:dyDescent="0.25">
      <c r="C73" s="232" t="s">
        <v>196</v>
      </c>
      <c r="D73" s="232"/>
      <c r="E73" s="232"/>
      <c r="F73" s="232"/>
      <c r="G73" s="232"/>
      <c r="H73" s="232"/>
      <c r="I73" s="232"/>
      <c r="J73" s="232"/>
      <c r="K73" s="73">
        <v>3</v>
      </c>
      <c r="L73" s="74">
        <v>100</v>
      </c>
      <c r="M73" s="49">
        <f>L73*$N$70</f>
        <v>10</v>
      </c>
      <c r="N73" s="75">
        <f>+K73*(L73+M73)</f>
        <v>330</v>
      </c>
    </row>
    <row r="74" spans="2:16" outlineLevel="1" x14ac:dyDescent="0.25">
      <c r="C74" s="233" t="s">
        <v>198</v>
      </c>
      <c r="D74" s="233"/>
      <c r="E74" s="233"/>
      <c r="F74" s="233"/>
      <c r="G74" s="233"/>
      <c r="H74" s="233"/>
      <c r="I74" s="233"/>
      <c r="J74" s="233"/>
      <c r="K74" s="64">
        <v>9</v>
      </c>
      <c r="L74" s="76">
        <v>50</v>
      </c>
      <c r="M74" s="50">
        <f>L74*$N$70</f>
        <v>5</v>
      </c>
      <c r="N74" s="77">
        <f>+K74*(L74+M74)</f>
        <v>495</v>
      </c>
    </row>
    <row r="75" spans="2:16" outlineLevel="1" x14ac:dyDescent="0.25">
      <c r="C75" s="234" t="s">
        <v>197</v>
      </c>
      <c r="D75" s="234"/>
      <c r="E75" s="234"/>
      <c r="F75" s="234"/>
      <c r="G75" s="234"/>
      <c r="H75" s="234"/>
      <c r="I75" s="234"/>
      <c r="J75" s="234"/>
      <c r="K75" s="64">
        <v>6</v>
      </c>
      <c r="L75" s="76">
        <v>150</v>
      </c>
      <c r="M75" s="50">
        <f>L75*$N$70</f>
        <v>15</v>
      </c>
      <c r="N75" s="77">
        <f>+K75*(L75+M75)</f>
        <v>990</v>
      </c>
    </row>
    <row r="76" spans="2:16" outlineLevel="1" x14ac:dyDescent="0.25">
      <c r="C76" s="233"/>
      <c r="D76" s="233"/>
      <c r="E76" s="233"/>
      <c r="F76" s="233"/>
      <c r="G76" s="233"/>
      <c r="H76" s="233"/>
      <c r="I76" s="233"/>
      <c r="J76" s="233"/>
      <c r="K76" s="64"/>
      <c r="L76" s="76"/>
      <c r="M76" s="50">
        <f>L76*$N$70</f>
        <v>0</v>
      </c>
      <c r="N76" s="77">
        <f>+K76*(L76+M76)</f>
        <v>0</v>
      </c>
      <c r="P76" s="18"/>
    </row>
    <row r="77" spans="2:16" outlineLevel="1" x14ac:dyDescent="0.25">
      <c r="C77" s="235" t="s">
        <v>39</v>
      </c>
      <c r="D77" s="235"/>
      <c r="E77" s="235"/>
      <c r="F77" s="235"/>
      <c r="G77" s="235"/>
      <c r="H77" s="235"/>
      <c r="I77" s="235"/>
      <c r="J77" s="235"/>
      <c r="K77" s="51"/>
      <c r="L77" s="78"/>
      <c r="M77" s="79">
        <f>L77*$N$70</f>
        <v>0</v>
      </c>
      <c r="N77" s="80">
        <f>+K77*(L77+M77)</f>
        <v>0</v>
      </c>
    </row>
    <row r="78" spans="2:16" outlineLevel="1" x14ac:dyDescent="0.25"/>
    <row r="79" spans="2:16" x14ac:dyDescent="0.25">
      <c r="C79" s="230"/>
      <c r="D79" s="230"/>
      <c r="E79" s="230"/>
      <c r="F79" s="230"/>
      <c r="G79" s="230"/>
      <c r="H79" s="230"/>
      <c r="I79" s="55"/>
      <c r="J79" s="56"/>
      <c r="K79" s="236" t="s">
        <v>71</v>
      </c>
      <c r="L79" s="236"/>
      <c r="M79" s="236"/>
      <c r="N79" s="57">
        <f>SUM(N73:N77)</f>
        <v>1815</v>
      </c>
    </row>
    <row r="81" spans="1:16" x14ac:dyDescent="0.25">
      <c r="B81" s="225" t="s">
        <v>77</v>
      </c>
      <c r="C81" s="225"/>
      <c r="D81" s="225"/>
      <c r="E81" s="225"/>
      <c r="F81" s="225"/>
      <c r="G81" s="225"/>
      <c r="H81" s="225"/>
      <c r="I81" s="225"/>
      <c r="J81" s="225"/>
      <c r="K81" s="225"/>
      <c r="L81" s="225"/>
      <c r="M81" s="225"/>
      <c r="N81" s="81">
        <f>+N79+N67+N53+N42+N31</f>
        <v>76412.492424242417</v>
      </c>
      <c r="P81" s="15"/>
    </row>
    <row r="82" spans="1:16" x14ac:dyDescent="0.25">
      <c r="P82" s="15"/>
    </row>
    <row r="83" spans="1:16" x14ac:dyDescent="0.25">
      <c r="A83" s="226" t="s">
        <v>78</v>
      </c>
      <c r="B83" s="226"/>
      <c r="C83" s="226"/>
      <c r="D83" s="226"/>
      <c r="E83" s="226"/>
      <c r="F83" s="226"/>
      <c r="G83" s="226"/>
      <c r="H83" s="226"/>
      <c r="I83" s="226"/>
      <c r="J83" s="226"/>
      <c r="K83" s="226"/>
      <c r="L83" s="226"/>
      <c r="M83" s="226"/>
      <c r="N83" s="226"/>
    </row>
    <row r="85" spans="1:16" x14ac:dyDescent="0.25">
      <c r="B85" s="23" t="s">
        <v>79</v>
      </c>
      <c r="C85" s="227" t="s">
        <v>80</v>
      </c>
      <c r="D85" s="227"/>
      <c r="E85" s="227"/>
      <c r="F85" s="227"/>
      <c r="G85" s="227"/>
      <c r="H85" s="227"/>
      <c r="I85" s="227"/>
      <c r="J85" s="227"/>
      <c r="K85" s="227"/>
      <c r="L85" s="227"/>
      <c r="M85" s="227"/>
      <c r="N85" s="227"/>
    </row>
    <row r="86" spans="1:16" x14ac:dyDescent="0.25">
      <c r="B86" s="23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</row>
    <row r="87" spans="1:16" x14ac:dyDescent="0.25">
      <c r="C87" s="82" t="s">
        <v>4</v>
      </c>
      <c r="D87" s="83"/>
      <c r="E87" s="83"/>
      <c r="F87" s="83"/>
      <c r="G87" s="83"/>
      <c r="H87" s="83"/>
      <c r="I87" s="83"/>
      <c r="J87" s="83"/>
      <c r="K87" s="84" t="s">
        <v>81</v>
      </c>
      <c r="L87" s="84" t="s">
        <v>82</v>
      </c>
      <c r="M87" s="27" t="s">
        <v>83</v>
      </c>
      <c r="N87" s="27" t="s">
        <v>6</v>
      </c>
    </row>
    <row r="88" spans="1:16" x14ac:dyDescent="0.25">
      <c r="C88" s="85" t="str">
        <f>+C16</f>
        <v>PERSONAL</v>
      </c>
      <c r="D88" s="86"/>
      <c r="E88" s="86"/>
      <c r="F88" s="86"/>
      <c r="G88" s="86"/>
      <c r="H88" s="86"/>
      <c r="I88" s="86"/>
      <c r="J88" s="86"/>
      <c r="K88" s="87">
        <f>+N31</f>
        <v>67102.159090909088</v>
      </c>
      <c r="L88" s="88">
        <v>0.3</v>
      </c>
      <c r="M88" s="32">
        <f>+K88*L88</f>
        <v>20130.647727272724</v>
      </c>
      <c r="N88" s="33">
        <f>+K88+M88</f>
        <v>87232.806818181809</v>
      </c>
      <c r="O88" s="15"/>
      <c r="P88" s="15"/>
    </row>
    <row r="89" spans="1:16" x14ac:dyDescent="0.25">
      <c r="C89" s="85" t="str">
        <f>+C33</f>
        <v>SUBCONTRATACIONES</v>
      </c>
      <c r="D89" s="86"/>
      <c r="E89" s="86"/>
      <c r="F89" s="86"/>
      <c r="G89" s="86"/>
      <c r="H89" s="86"/>
      <c r="I89" s="86"/>
      <c r="J89" s="86"/>
      <c r="K89" s="89">
        <f>+N42</f>
        <v>0</v>
      </c>
      <c r="L89" s="90">
        <v>0.15</v>
      </c>
      <c r="M89" s="35">
        <f>+K89*L89</f>
        <v>0</v>
      </c>
      <c r="N89" s="36">
        <f>+K89+M89</f>
        <v>0</v>
      </c>
      <c r="O89" s="15"/>
      <c r="P89" s="15"/>
    </row>
    <row r="90" spans="1:16" x14ac:dyDescent="0.25">
      <c r="C90" s="85" t="str">
        <f>+C44</f>
        <v>EQUIPAMIENTO</v>
      </c>
      <c r="D90" s="86"/>
      <c r="E90" s="86"/>
      <c r="F90" s="86"/>
      <c r="G90" s="86"/>
      <c r="H90" s="86"/>
      <c r="I90" s="86"/>
      <c r="J90" s="86"/>
      <c r="K90" s="89">
        <f>+N53</f>
        <v>5151</v>
      </c>
      <c r="L90" s="90">
        <v>0.1</v>
      </c>
      <c r="M90" s="35">
        <f>+K90*L90</f>
        <v>515.1</v>
      </c>
      <c r="N90" s="36">
        <f>+K90+M90</f>
        <v>5666.1</v>
      </c>
      <c r="O90" s="15"/>
      <c r="P90" s="15"/>
    </row>
    <row r="91" spans="1:16" x14ac:dyDescent="0.25">
      <c r="C91" s="85" t="str">
        <f>+C55</f>
        <v>AMORTIZACION HW/SW</v>
      </c>
      <c r="D91" s="86"/>
      <c r="E91" s="86"/>
      <c r="F91" s="86"/>
      <c r="G91" s="86"/>
      <c r="H91" s="86"/>
      <c r="I91" s="86"/>
      <c r="J91" s="86"/>
      <c r="K91" s="89">
        <f>+N67</f>
        <v>2344.3333333333335</v>
      </c>
      <c r="L91" s="90">
        <v>0</v>
      </c>
      <c r="M91" s="35">
        <f>+K91*L91</f>
        <v>0</v>
      </c>
      <c r="N91" s="36">
        <f>+K91+M91</f>
        <v>2344.3333333333335</v>
      </c>
      <c r="O91" s="15"/>
      <c r="P91" s="15"/>
    </row>
    <row r="92" spans="1:16" x14ac:dyDescent="0.25">
      <c r="C92" s="91" t="str">
        <f>+C69</f>
        <v>OTROS GASTOS</v>
      </c>
      <c r="D92" s="92"/>
      <c r="E92" s="92"/>
      <c r="F92" s="92"/>
      <c r="G92" s="92"/>
      <c r="H92" s="92"/>
      <c r="I92" s="92"/>
      <c r="J92" s="92"/>
      <c r="K92" s="93">
        <f>+N79</f>
        <v>1815</v>
      </c>
      <c r="L92" s="94">
        <v>0.05</v>
      </c>
      <c r="M92" s="42">
        <f>+K92*L92</f>
        <v>90.75</v>
      </c>
      <c r="N92" s="43">
        <f>+K92+M92</f>
        <v>1905.75</v>
      </c>
      <c r="O92" s="15"/>
      <c r="P92" s="15"/>
    </row>
    <row r="94" spans="1:16" x14ac:dyDescent="0.25">
      <c r="C94" s="228" t="s">
        <v>84</v>
      </c>
      <c r="D94" s="228"/>
      <c r="E94" s="228"/>
      <c r="F94" s="228"/>
      <c r="G94" s="228"/>
      <c r="H94" s="228"/>
      <c r="I94" s="228"/>
      <c r="J94" s="228"/>
      <c r="K94" s="228"/>
      <c r="L94" s="228"/>
      <c r="M94" s="95">
        <f>SUM(M88:M92)</f>
        <v>20736.497727272723</v>
      </c>
      <c r="N94" s="96">
        <f>SUM(N88:N92)</f>
        <v>97148.990151515143</v>
      </c>
      <c r="P94" s="17"/>
    </row>
    <row r="95" spans="1:16" x14ac:dyDescent="0.25">
      <c r="N95" s="15"/>
    </row>
    <row r="96" spans="1:16" x14ac:dyDescent="0.25">
      <c r="B96" s="23" t="s">
        <v>85</v>
      </c>
      <c r="C96" s="227" t="s">
        <v>86</v>
      </c>
      <c r="D96" s="227"/>
      <c r="E96" s="227"/>
      <c r="F96" s="227"/>
      <c r="G96" s="227"/>
      <c r="H96" s="227"/>
      <c r="I96" s="227"/>
      <c r="J96" s="227"/>
      <c r="K96" s="227"/>
      <c r="L96" s="227"/>
      <c r="M96" s="227"/>
      <c r="N96" s="227"/>
    </row>
    <row r="98" spans="3:14" x14ac:dyDescent="0.25">
      <c r="C98" s="229" t="s">
        <v>87</v>
      </c>
      <c r="D98" s="229"/>
      <c r="E98" s="229"/>
      <c r="F98" s="229"/>
      <c r="G98" s="229"/>
      <c r="H98" s="229"/>
      <c r="I98" s="229"/>
      <c r="J98" s="229"/>
      <c r="K98" s="97" t="s">
        <v>88</v>
      </c>
      <c r="L98" s="98">
        <f>+N94*0.21</f>
        <v>20401.28793181818</v>
      </c>
      <c r="M98" s="97" t="s">
        <v>6</v>
      </c>
      <c r="N98" s="96">
        <f>+N94+L98</f>
        <v>117550.27808333332</v>
      </c>
    </row>
  </sheetData>
  <mergeCells count="105">
    <mergeCell ref="A1:N1"/>
    <mergeCell ref="A3:N3"/>
    <mergeCell ref="A5:B5"/>
    <mergeCell ref="C5:H5"/>
    <mergeCell ref="J5:K5"/>
    <mergeCell ref="L5:N5"/>
    <mergeCell ref="C6:H6"/>
    <mergeCell ref="J6:K6"/>
    <mergeCell ref="L6:N6"/>
    <mergeCell ref="A8:B8"/>
    <mergeCell ref="C8:F8"/>
    <mergeCell ref="J8:K8"/>
    <mergeCell ref="L8:N8"/>
    <mergeCell ref="J10:L10"/>
    <mergeCell ref="J11:L11"/>
    <mergeCell ref="J12:L12"/>
    <mergeCell ref="A14:N14"/>
    <mergeCell ref="C16:N16"/>
    <mergeCell ref="J17:M17"/>
    <mergeCell ref="J18:M18"/>
    <mergeCell ref="J19:M19"/>
    <mergeCell ref="C21:F21"/>
    <mergeCell ref="H21:I21"/>
    <mergeCell ref="J21:K21"/>
    <mergeCell ref="C22:F22"/>
    <mergeCell ref="H22:I22"/>
    <mergeCell ref="J22:K22"/>
    <mergeCell ref="C23:F23"/>
    <mergeCell ref="H23:I23"/>
    <mergeCell ref="J23:K23"/>
    <mergeCell ref="C24:F24"/>
    <mergeCell ref="H24:I24"/>
    <mergeCell ref="J24:K24"/>
    <mergeCell ref="C25:F25"/>
    <mergeCell ref="H25:I25"/>
    <mergeCell ref="J25:K25"/>
    <mergeCell ref="H26:I26"/>
    <mergeCell ref="J26:K26"/>
    <mergeCell ref="C27:F27"/>
    <mergeCell ref="H27:I27"/>
    <mergeCell ref="J27:K27"/>
    <mergeCell ref="C28:F28"/>
    <mergeCell ref="H28:I28"/>
    <mergeCell ref="J28:K28"/>
    <mergeCell ref="C29:F29"/>
    <mergeCell ref="H29:I29"/>
    <mergeCell ref="J29:K29"/>
    <mergeCell ref="C31:F31"/>
    <mergeCell ref="H31:I31"/>
    <mergeCell ref="K31:M31"/>
    <mergeCell ref="C33:N33"/>
    <mergeCell ref="I34:M34"/>
    <mergeCell ref="C36:D36"/>
    <mergeCell ref="E36:H36"/>
    <mergeCell ref="J36:K36"/>
    <mergeCell ref="C37:D37"/>
    <mergeCell ref="E37:H37"/>
    <mergeCell ref="J37:K37"/>
    <mergeCell ref="C38:D38"/>
    <mergeCell ref="E38:H38"/>
    <mergeCell ref="J38:K38"/>
    <mergeCell ref="C39:D39"/>
    <mergeCell ref="E39:H39"/>
    <mergeCell ref="J39:K39"/>
    <mergeCell ref="C40:D40"/>
    <mergeCell ref="E40:H40"/>
    <mergeCell ref="C42:H42"/>
    <mergeCell ref="K42:M42"/>
    <mergeCell ref="C44:N44"/>
    <mergeCell ref="J45:M45"/>
    <mergeCell ref="C47:D47"/>
    <mergeCell ref="E47:H47"/>
    <mergeCell ref="J47:K47"/>
    <mergeCell ref="C48:D48"/>
    <mergeCell ref="E48:H48"/>
    <mergeCell ref="J48:K48"/>
    <mergeCell ref="C49:D49"/>
    <mergeCell ref="E49:H49"/>
    <mergeCell ref="J49:K49"/>
    <mergeCell ref="C50:D50"/>
    <mergeCell ref="E50:H50"/>
    <mergeCell ref="J50:K50"/>
    <mergeCell ref="C51:D51"/>
    <mergeCell ref="E51:H51"/>
    <mergeCell ref="C53:H53"/>
    <mergeCell ref="K53:M53"/>
    <mergeCell ref="C55:N55"/>
    <mergeCell ref="C67:H67"/>
    <mergeCell ref="K67:M67"/>
    <mergeCell ref="B81:M81"/>
    <mergeCell ref="A83:N83"/>
    <mergeCell ref="C85:N85"/>
    <mergeCell ref="C94:L94"/>
    <mergeCell ref="C96:N96"/>
    <mergeCell ref="C98:J98"/>
    <mergeCell ref="C69:N69"/>
    <mergeCell ref="J70:M70"/>
    <mergeCell ref="C72:J72"/>
    <mergeCell ref="C73:J73"/>
    <mergeCell ref="C74:J74"/>
    <mergeCell ref="C75:J75"/>
    <mergeCell ref="C76:J76"/>
    <mergeCell ref="C77:J77"/>
    <mergeCell ref="C79:H79"/>
    <mergeCell ref="K79:M79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96"/>
  <sheetViews>
    <sheetView showGridLines="0" topLeftCell="A28" zoomScaleNormal="100" workbookViewId="0">
      <selection activeCell="O35" sqref="O35"/>
    </sheetView>
  </sheetViews>
  <sheetFormatPr baseColWidth="10" defaultColWidth="10.7109375" defaultRowHeight="15" x14ac:dyDescent="0.25"/>
  <cols>
    <col min="1" max="2" width="6.7109375" customWidth="1"/>
    <col min="3" max="3" width="16.7109375" customWidth="1"/>
    <col min="4" max="4" width="10.140625" customWidth="1"/>
    <col min="5" max="5" width="9.85546875" customWidth="1"/>
    <col min="6" max="16" width="11" customWidth="1"/>
    <col min="20" max="21" width="12" customWidth="1"/>
  </cols>
  <sheetData>
    <row r="1" spans="1:18" ht="21" x14ac:dyDescent="0.35">
      <c r="A1" s="222" t="s">
        <v>89</v>
      </c>
      <c r="B1" s="222"/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222"/>
      <c r="P1" s="222"/>
      <c r="Q1" s="222"/>
      <c r="R1" s="222"/>
    </row>
    <row r="3" spans="1:18" x14ac:dyDescent="0.25">
      <c r="A3" s="256" t="s">
        <v>8</v>
      </c>
      <c r="B3" s="256"/>
      <c r="C3" s="256"/>
      <c r="D3" s="256"/>
      <c r="E3" s="256"/>
      <c r="F3" s="256"/>
      <c r="G3" s="256"/>
      <c r="H3" s="256"/>
      <c r="I3" s="256"/>
      <c r="J3" s="256"/>
      <c r="K3" s="256"/>
      <c r="L3" s="256"/>
      <c r="M3" s="256"/>
      <c r="N3" s="256"/>
      <c r="O3" s="256"/>
      <c r="P3" s="256"/>
      <c r="Q3" s="256"/>
      <c r="R3" s="256"/>
    </row>
    <row r="5" spans="1:18" x14ac:dyDescent="0.25">
      <c r="A5" s="254" t="s">
        <v>9</v>
      </c>
      <c r="B5" s="254"/>
      <c r="C5" s="265" t="str">
        <f>IF(ESTIMACION!C5="","N/A",ESTIMACION!C5)</f>
        <v>DESARROLLO DE UN PORTAL WEB</v>
      </c>
      <c r="D5" s="265"/>
      <c r="E5" s="265"/>
      <c r="F5" s="265"/>
      <c r="G5" s="265"/>
      <c r="H5" s="99"/>
      <c r="I5" s="254" t="s">
        <v>10</v>
      </c>
      <c r="J5" s="254"/>
      <c r="K5" s="265" t="str">
        <f>IF(ESTIMACION!L5="","N/A",ESTIMACION!L5)</f>
        <v>DES-01-2022</v>
      </c>
      <c r="L5" s="265"/>
      <c r="M5" s="265"/>
      <c r="N5" s="265"/>
    </row>
    <row r="6" spans="1:18" x14ac:dyDescent="0.25">
      <c r="A6" t="s">
        <v>11</v>
      </c>
      <c r="C6" s="265" t="str">
        <f>IF(ESTIMACION!C6="","N/A",ESTIMACION!C6)</f>
        <v>MEDIOLADO</v>
      </c>
      <c r="D6" s="265"/>
      <c r="E6" s="265"/>
      <c r="F6" s="265"/>
      <c r="G6" s="265"/>
      <c r="H6" s="100"/>
      <c r="I6" s="254" t="s">
        <v>12</v>
      </c>
      <c r="J6" s="254"/>
      <c r="K6" s="265" t="str">
        <f>IF(ESTIMACION!L6="","N/A",ESTIMACION!L6)</f>
        <v>PABLO Y CAMILO</v>
      </c>
      <c r="L6" s="265"/>
      <c r="M6" s="265"/>
      <c r="N6" s="265"/>
    </row>
    <row r="7" spans="1:18" x14ac:dyDescent="0.25">
      <c r="C7" s="15"/>
    </row>
    <row r="8" spans="1:18" x14ac:dyDescent="0.25">
      <c r="A8" s="271" t="s">
        <v>13</v>
      </c>
      <c r="B8" s="271"/>
      <c r="C8" s="271"/>
      <c r="D8" s="273">
        <f>IF(ESTIMACION!C8="","N/A",ESTIMACION!C8)</f>
        <v>44562</v>
      </c>
      <c r="E8" s="273"/>
      <c r="F8" s="273"/>
      <c r="G8" s="16"/>
      <c r="H8" s="16"/>
      <c r="I8" s="254" t="s">
        <v>14</v>
      </c>
      <c r="J8" s="254"/>
      <c r="K8" s="273">
        <f>IF(ESTIMACION!L8="","N/A",ESTIMACION!L8)</f>
        <v>44925</v>
      </c>
      <c r="L8" s="273"/>
      <c r="M8" s="273"/>
    </row>
    <row r="9" spans="1:18" x14ac:dyDescent="0.25">
      <c r="C9" s="15"/>
      <c r="E9" s="17"/>
    </row>
    <row r="10" spans="1:18" x14ac:dyDescent="0.25">
      <c r="A10" s="271" t="s">
        <v>90</v>
      </c>
      <c r="B10" s="271"/>
      <c r="C10" s="271"/>
      <c r="D10" s="255">
        <v>44699</v>
      </c>
      <c r="E10" s="255"/>
      <c r="F10" s="255"/>
      <c r="I10" s="254" t="s">
        <v>15</v>
      </c>
      <c r="J10" s="254"/>
      <c r="K10" s="254"/>
      <c r="L10" s="270">
        <f>+ESTIMACION!M10</f>
        <v>97148.990151515143</v>
      </c>
      <c r="M10" s="270"/>
      <c r="N10" s="20" t="s">
        <v>16</v>
      </c>
    </row>
    <row r="11" spans="1:18" x14ac:dyDescent="0.25">
      <c r="I11" s="254" t="s">
        <v>91</v>
      </c>
      <c r="J11" s="254"/>
      <c r="K11" s="254"/>
      <c r="L11" s="270">
        <f>+ESTIMACION!M11</f>
        <v>3212</v>
      </c>
      <c r="M11" s="270"/>
      <c r="N11" s="20" t="s">
        <v>18</v>
      </c>
    </row>
    <row r="12" spans="1:18" x14ac:dyDescent="0.25">
      <c r="I12" s="254" t="s">
        <v>19</v>
      </c>
      <c r="J12" s="254"/>
      <c r="K12" s="254"/>
      <c r="L12" s="270">
        <f>+ESTIMACION!M12</f>
        <v>27.137575374643745</v>
      </c>
      <c r="M12" s="270"/>
      <c r="N12" s="20" t="s">
        <v>20</v>
      </c>
    </row>
    <row r="14" spans="1:18" x14ac:dyDescent="0.25">
      <c r="I14" s="271" t="s">
        <v>92</v>
      </c>
      <c r="J14" s="271"/>
      <c r="K14" s="271"/>
      <c r="L14" s="271"/>
      <c r="M14" s="272">
        <v>0.02</v>
      </c>
      <c r="N14" s="272"/>
    </row>
    <row r="15" spans="1:18" x14ac:dyDescent="0.25">
      <c r="I15" s="271" t="s">
        <v>93</v>
      </c>
      <c r="J15" s="271"/>
      <c r="K15" s="271"/>
      <c r="L15" s="271"/>
      <c r="M15" s="272">
        <v>0.08</v>
      </c>
      <c r="N15" s="272"/>
    </row>
    <row r="17" spans="1:18" x14ac:dyDescent="0.25">
      <c r="A17" s="226" t="s">
        <v>94</v>
      </c>
      <c r="B17" s="226"/>
      <c r="C17" s="226"/>
      <c r="D17" s="226"/>
      <c r="E17" s="226"/>
      <c r="F17" s="226"/>
      <c r="G17" s="226"/>
      <c r="H17" s="226"/>
      <c r="I17" s="226"/>
      <c r="J17" s="226"/>
      <c r="K17" s="226"/>
      <c r="L17" s="226"/>
      <c r="M17" s="226"/>
      <c r="N17" s="226"/>
      <c r="O17" s="226"/>
      <c r="P17" s="226"/>
      <c r="Q17" s="226"/>
      <c r="R17" s="226"/>
    </row>
    <row r="19" spans="1:18" x14ac:dyDescent="0.25">
      <c r="D19" s="263" t="s">
        <v>95</v>
      </c>
      <c r="E19" s="263"/>
      <c r="F19" s="263"/>
      <c r="G19" s="263"/>
      <c r="H19" s="263"/>
      <c r="I19" s="263"/>
      <c r="J19" s="263"/>
      <c r="K19" s="263"/>
      <c r="L19" s="263"/>
      <c r="M19" s="263"/>
      <c r="N19" s="263"/>
      <c r="O19" s="263"/>
      <c r="P19" s="263"/>
      <c r="Q19" s="264" t="s">
        <v>96</v>
      </c>
      <c r="R19" s="264"/>
    </row>
    <row r="20" spans="1:18" x14ac:dyDescent="0.25">
      <c r="A20" s="267" t="s">
        <v>23</v>
      </c>
      <c r="B20" s="267"/>
      <c r="C20" s="267"/>
      <c r="D20" s="101" t="s">
        <v>97</v>
      </c>
      <c r="E20" s="27" t="s">
        <v>98</v>
      </c>
      <c r="F20" s="27" t="s">
        <v>99</v>
      </c>
      <c r="G20" s="27" t="s">
        <v>100</v>
      </c>
      <c r="H20" s="27" t="s">
        <v>101</v>
      </c>
      <c r="I20" s="27" t="s">
        <v>102</v>
      </c>
      <c r="J20" s="27" t="s">
        <v>103</v>
      </c>
      <c r="K20" s="27" t="s">
        <v>104</v>
      </c>
      <c r="L20" s="27" t="s">
        <v>105</v>
      </c>
      <c r="M20" s="27" t="s">
        <v>106</v>
      </c>
      <c r="N20" s="27" t="s">
        <v>107</v>
      </c>
      <c r="O20" s="27" t="s">
        <v>108</v>
      </c>
      <c r="P20" s="84" t="s">
        <v>109</v>
      </c>
      <c r="Q20" s="102" t="s">
        <v>110</v>
      </c>
      <c r="R20" s="103" t="s">
        <v>111</v>
      </c>
    </row>
    <row r="21" spans="1:18" x14ac:dyDescent="0.25">
      <c r="A21" s="268" t="str">
        <f>+ESTIMACION!C22</f>
        <v>Analista</v>
      </c>
      <c r="B21" s="268"/>
      <c r="C21" s="268"/>
      <c r="D21" s="104">
        <f>200*2/3</f>
        <v>133.33333333333334</v>
      </c>
      <c r="E21" s="104">
        <f>200/3 + 250/5</f>
        <v>116.66666666666667</v>
      </c>
      <c r="F21" s="104">
        <f>250*2/5</f>
        <v>100</v>
      </c>
      <c r="G21" s="104">
        <f>250*2/5</f>
        <v>100</v>
      </c>
      <c r="H21" s="104">
        <f>180/6</f>
        <v>30</v>
      </c>
      <c r="I21" s="104">
        <f t="shared" ref="I21:M21" si="0">180/6</f>
        <v>30</v>
      </c>
      <c r="J21" s="104">
        <f t="shared" si="0"/>
        <v>30</v>
      </c>
      <c r="K21" s="104">
        <f t="shared" si="0"/>
        <v>30</v>
      </c>
      <c r="L21" s="104">
        <f t="shared" si="0"/>
        <v>30</v>
      </c>
      <c r="M21" s="104">
        <f t="shared" si="0"/>
        <v>30</v>
      </c>
      <c r="N21" s="104">
        <f>80/2</f>
        <v>40</v>
      </c>
      <c r="O21" s="104">
        <f>80/2</f>
        <v>40</v>
      </c>
      <c r="P21" s="105"/>
      <c r="Q21" s="106">
        <f t="shared" ref="Q21:Q28" si="1">SUM(D21:P21)</f>
        <v>710</v>
      </c>
      <c r="R21" s="107">
        <f>+ESTIMACION!G22</f>
        <v>710</v>
      </c>
    </row>
    <row r="22" spans="1:18" x14ac:dyDescent="0.25">
      <c r="A22" s="269" t="str">
        <f>+ESTIMACION!C23</f>
        <v>Diseñador Gráfico Aplicativos</v>
      </c>
      <c r="B22" s="269"/>
      <c r="C22" s="269"/>
      <c r="D22" s="108">
        <v>0</v>
      </c>
      <c r="E22" s="108">
        <v>20</v>
      </c>
      <c r="F22" s="108">
        <f>100*2/5</f>
        <v>40</v>
      </c>
      <c r="G22" s="108">
        <f>100*2/5</f>
        <v>40</v>
      </c>
      <c r="H22" s="108">
        <v>0</v>
      </c>
      <c r="I22" s="108">
        <v>0</v>
      </c>
      <c r="J22" s="108">
        <v>0</v>
      </c>
      <c r="K22" s="108">
        <v>0</v>
      </c>
      <c r="L22" s="108">
        <v>0</v>
      </c>
      <c r="M22" s="108">
        <v>0</v>
      </c>
      <c r="N22" s="108">
        <v>0</v>
      </c>
      <c r="O22" s="108">
        <v>0</v>
      </c>
      <c r="P22" s="109"/>
      <c r="Q22" s="106">
        <f t="shared" si="1"/>
        <v>100</v>
      </c>
      <c r="R22" s="110">
        <f>+ESTIMACION!G23</f>
        <v>100</v>
      </c>
    </row>
    <row r="23" spans="1:18" x14ac:dyDescent="0.25">
      <c r="A23" s="269" t="str">
        <f>+ESTIMACION!C24</f>
        <v>Jefe de Proyecto</v>
      </c>
      <c r="B23" s="269"/>
      <c r="C23" s="269"/>
      <c r="D23" s="108">
        <f>40*2/3</f>
        <v>26.666666666666668</v>
      </c>
      <c r="E23" s="108">
        <f>40/3 + 40/5</f>
        <v>21.333333333333336</v>
      </c>
      <c r="F23" s="108">
        <f>40*2/5</f>
        <v>16</v>
      </c>
      <c r="G23" s="108">
        <f>40*2/5</f>
        <v>16</v>
      </c>
      <c r="H23" s="108">
        <f xml:space="preserve"> 90/6</f>
        <v>15</v>
      </c>
      <c r="I23" s="108">
        <f t="shared" ref="I23:M23" si="2" xml:space="preserve"> 90/6</f>
        <v>15</v>
      </c>
      <c r="J23" s="108">
        <f t="shared" si="2"/>
        <v>15</v>
      </c>
      <c r="K23" s="108">
        <f t="shared" si="2"/>
        <v>15</v>
      </c>
      <c r="L23" s="108">
        <f t="shared" si="2"/>
        <v>15</v>
      </c>
      <c r="M23" s="108">
        <f t="shared" si="2"/>
        <v>15</v>
      </c>
      <c r="N23" s="108">
        <f>80/2</f>
        <v>40</v>
      </c>
      <c r="O23" s="108">
        <f>80/2</f>
        <v>40</v>
      </c>
      <c r="P23" s="109"/>
      <c r="Q23" s="106">
        <f t="shared" si="1"/>
        <v>250</v>
      </c>
      <c r="R23" s="110">
        <f>+ESTIMACION!G24</f>
        <v>250</v>
      </c>
    </row>
    <row r="24" spans="1:18" x14ac:dyDescent="0.25">
      <c r="A24" s="269" t="str">
        <f>+ESTIMACION!C25</f>
        <v>Programador</v>
      </c>
      <c r="B24" s="269"/>
      <c r="C24" s="269"/>
      <c r="D24" s="108">
        <v>0</v>
      </c>
      <c r="E24" s="108">
        <f>100/5</f>
        <v>20</v>
      </c>
      <c r="F24" s="108">
        <f>100*2/5</f>
        <v>40</v>
      </c>
      <c r="G24" s="108">
        <f>100*2/5</f>
        <v>40</v>
      </c>
      <c r="H24" s="108">
        <f>1500/6</f>
        <v>250</v>
      </c>
      <c r="I24" s="108">
        <f t="shared" ref="I24:M24" si="3">1500/6</f>
        <v>250</v>
      </c>
      <c r="J24" s="108">
        <f t="shared" si="3"/>
        <v>250</v>
      </c>
      <c r="K24" s="108">
        <f t="shared" si="3"/>
        <v>250</v>
      </c>
      <c r="L24" s="108">
        <f t="shared" si="3"/>
        <v>250</v>
      </c>
      <c r="M24" s="108">
        <f t="shared" si="3"/>
        <v>250</v>
      </c>
      <c r="N24" s="108">
        <f>120/2</f>
        <v>60</v>
      </c>
      <c r="O24" s="108">
        <f>120/2</f>
        <v>60</v>
      </c>
      <c r="P24" s="109"/>
      <c r="Q24" s="106">
        <f t="shared" si="1"/>
        <v>1720</v>
      </c>
      <c r="R24" s="110">
        <f>+ESTIMACION!G25</f>
        <v>1720</v>
      </c>
    </row>
    <row r="25" spans="1:18" x14ac:dyDescent="0.25">
      <c r="A25" s="269" t="str">
        <f>+ESTIMACION!C26</f>
        <v>Supervisor calidad aplicativos</v>
      </c>
      <c r="B25" s="269"/>
      <c r="C25" s="269"/>
      <c r="D25" s="108">
        <f>20*2/3</f>
        <v>13.333333333333334</v>
      </c>
      <c r="E25" s="108">
        <f>20/3 + 30/5</f>
        <v>12.666666666666668</v>
      </c>
      <c r="F25" s="108">
        <f>30*2/5</f>
        <v>12</v>
      </c>
      <c r="G25" s="108">
        <f>30*2/5</f>
        <v>12</v>
      </c>
      <c r="H25" s="108">
        <f>102/6</f>
        <v>17</v>
      </c>
      <c r="I25" s="108">
        <f t="shared" ref="I25:M25" si="4">102/6</f>
        <v>17</v>
      </c>
      <c r="J25" s="108">
        <f t="shared" si="4"/>
        <v>17</v>
      </c>
      <c r="K25" s="108">
        <f t="shared" si="4"/>
        <v>17</v>
      </c>
      <c r="L25" s="108">
        <f t="shared" si="4"/>
        <v>17</v>
      </c>
      <c r="M25" s="108">
        <f t="shared" si="4"/>
        <v>17</v>
      </c>
      <c r="N25" s="108">
        <f>80/2</f>
        <v>40</v>
      </c>
      <c r="O25" s="108">
        <f>80/2</f>
        <v>40</v>
      </c>
      <c r="P25" s="109"/>
      <c r="Q25" s="106">
        <f t="shared" si="1"/>
        <v>232</v>
      </c>
      <c r="R25" s="110">
        <f>+ESTIMACION!G26</f>
        <v>232</v>
      </c>
    </row>
    <row r="26" spans="1:18" x14ac:dyDescent="0.25">
      <c r="A26" s="269" t="str">
        <f>+ESTIMACION!C27</f>
        <v>Técnico de bases de datos</v>
      </c>
      <c r="B26" s="269"/>
      <c r="C26" s="269"/>
      <c r="D26" s="108">
        <f>60*2/3</f>
        <v>40</v>
      </c>
      <c r="E26" s="108">
        <f>60/3</f>
        <v>20</v>
      </c>
      <c r="F26" s="108">
        <v>0</v>
      </c>
      <c r="G26" s="108">
        <v>0</v>
      </c>
      <c r="H26" s="108">
        <v>0</v>
      </c>
      <c r="I26" s="108">
        <v>0</v>
      </c>
      <c r="J26" s="108">
        <v>0</v>
      </c>
      <c r="K26" s="108">
        <v>0</v>
      </c>
      <c r="L26" s="108">
        <v>0</v>
      </c>
      <c r="M26" s="108">
        <v>0</v>
      </c>
      <c r="N26" s="108">
        <f>40/2</f>
        <v>20</v>
      </c>
      <c r="O26" s="108">
        <f>40/2</f>
        <v>20</v>
      </c>
      <c r="P26" s="109"/>
      <c r="Q26" s="106">
        <f t="shared" si="1"/>
        <v>100</v>
      </c>
      <c r="R26" s="110">
        <f>+ESTIMACION!G27</f>
        <v>100</v>
      </c>
    </row>
    <row r="27" spans="1:18" x14ac:dyDescent="0.25">
      <c r="A27" s="269" t="str">
        <f>+ESTIMACION!C28</f>
        <v>Técnico de sistemas</v>
      </c>
      <c r="B27" s="269"/>
      <c r="C27" s="269"/>
      <c r="D27" s="108">
        <v>0</v>
      </c>
      <c r="E27" s="108">
        <f>60/5</f>
        <v>12</v>
      </c>
      <c r="F27" s="108">
        <f>60*2/5</f>
        <v>24</v>
      </c>
      <c r="G27" s="108">
        <f>60*2/5</f>
        <v>24</v>
      </c>
      <c r="H27" s="108">
        <v>0</v>
      </c>
      <c r="I27" s="108">
        <v>0</v>
      </c>
      <c r="J27" s="108">
        <v>0</v>
      </c>
      <c r="K27" s="108">
        <v>0</v>
      </c>
      <c r="L27" s="108">
        <v>0</v>
      </c>
      <c r="M27" s="108">
        <v>0</v>
      </c>
      <c r="N27" s="108">
        <f>40/2</f>
        <v>20</v>
      </c>
      <c r="O27" s="108">
        <f>40/2</f>
        <v>20</v>
      </c>
      <c r="P27" s="109"/>
      <c r="Q27" s="106">
        <f t="shared" si="1"/>
        <v>100</v>
      </c>
      <c r="R27" s="110">
        <f>+ESTIMACION!G28</f>
        <v>100</v>
      </c>
    </row>
    <row r="28" spans="1:18" x14ac:dyDescent="0.25">
      <c r="A28" s="235" t="str">
        <f>+ESTIMACION!C29</f>
        <v>[Insertar más líneas aquí]</v>
      </c>
      <c r="B28" s="235"/>
      <c r="C28" s="235"/>
      <c r="D28" s="111"/>
      <c r="E28" s="111"/>
      <c r="F28" s="111"/>
      <c r="G28" s="111"/>
      <c r="H28" s="111"/>
      <c r="I28" s="111"/>
      <c r="J28" s="111"/>
      <c r="K28" s="111"/>
      <c r="L28" s="111"/>
      <c r="M28" s="111"/>
      <c r="N28" s="111"/>
      <c r="O28" s="111"/>
      <c r="P28" s="112"/>
      <c r="Q28" s="113">
        <f t="shared" si="1"/>
        <v>0</v>
      </c>
      <c r="R28" s="114">
        <f>+ESTIMACION!G29</f>
        <v>0</v>
      </c>
    </row>
    <row r="29" spans="1:18" x14ac:dyDescent="0.25">
      <c r="Q29" s="18"/>
      <c r="R29" s="18"/>
    </row>
    <row r="30" spans="1:18" x14ac:dyDescent="0.25">
      <c r="A30" s="241" t="s">
        <v>112</v>
      </c>
      <c r="B30" s="241"/>
      <c r="C30" s="241"/>
      <c r="D30" s="115">
        <f>SUMPRODUCT(ESTIMACION!$M$22:$M$29,'PLAN FINANCIERO'!D21:D28)</f>
        <v>5284.2045454545469</v>
      </c>
      <c r="E30" s="115">
        <f>SUMPRODUCT(ESTIMACION!$M$22:$M$29,'PLAN FINANCIERO'!E21:E28)</f>
        <v>5173.5568181818189</v>
      </c>
      <c r="F30" s="115">
        <f>SUMPRODUCT(ESTIMACION!$M$22:$M$29,'PLAN FINANCIERO'!F21:F28)</f>
        <v>5062.909090909091</v>
      </c>
      <c r="G30" s="115">
        <f>SUMPRODUCT(ESTIMACION!$M$22:$M$29,'PLAN FINANCIERO'!G21:G28)</f>
        <v>5062.909090909091</v>
      </c>
      <c r="H30" s="115">
        <f>SUMPRODUCT(ESTIMACION!$M$22:$M$29,'PLAN FINANCIERO'!H21:H28)</f>
        <v>5987.3863636363631</v>
      </c>
      <c r="I30" s="115">
        <f>SUMPRODUCT(ESTIMACION!$M$22:$M$29,'PLAN FINANCIERO'!I21:I28)</f>
        <v>5987.3863636363631</v>
      </c>
      <c r="J30" s="115">
        <f>SUMPRODUCT(ESTIMACION!$M$22:$M$29,'PLAN FINANCIERO'!J21:J28)</f>
        <v>5987.3863636363631</v>
      </c>
      <c r="K30" s="115">
        <f>SUMPRODUCT(ESTIMACION!$M$22:$M$29,'PLAN FINANCIERO'!K21:K28)</f>
        <v>5987.3863636363631</v>
      </c>
      <c r="L30" s="115">
        <f>SUMPRODUCT(ESTIMACION!$M$22:$M$29,'PLAN FINANCIERO'!L21:L28)</f>
        <v>5987.3863636363631</v>
      </c>
      <c r="M30" s="115">
        <f>SUMPRODUCT(ESTIMACION!$M$22:$M$29,'PLAN FINANCIERO'!M21:M28)</f>
        <v>5987.3863636363631</v>
      </c>
      <c r="N30" s="115">
        <f>SUMPRODUCT(ESTIMACION!$M$22:$M$29,'PLAN FINANCIERO'!N21:N28)</f>
        <v>5297.1306818181811</v>
      </c>
      <c r="O30" s="115">
        <f>SUMPRODUCT(ESTIMACION!$M$22:$M$29,'PLAN FINANCIERO'!O21:O28)</f>
        <v>5297.1306818181811</v>
      </c>
      <c r="P30" s="115">
        <f>SUMPRODUCT(ESTIMACION!$M$22:$M$29,'PLAN FINANCIERO'!P21:P28)</f>
        <v>0</v>
      </c>
      <c r="Q30" s="116">
        <f>SUM(D30:P30)</f>
        <v>67102.159090909088</v>
      </c>
      <c r="R30" s="117">
        <f>+ESTIMACION!N31</f>
        <v>67102.159090909088</v>
      </c>
    </row>
    <row r="31" spans="1:18" x14ac:dyDescent="0.25">
      <c r="A31" s="118"/>
      <c r="B31" s="118"/>
      <c r="C31" s="118"/>
      <c r="D31" s="119"/>
      <c r="E31" s="119"/>
      <c r="F31" s="119"/>
      <c r="G31" s="119"/>
      <c r="H31" s="119"/>
      <c r="I31" s="119"/>
      <c r="J31" s="119"/>
      <c r="K31" s="119"/>
      <c r="L31" s="119"/>
      <c r="M31" s="119"/>
      <c r="N31" s="119"/>
      <c r="O31" s="119"/>
      <c r="P31" s="119"/>
      <c r="Q31" s="120"/>
      <c r="R31" s="120"/>
    </row>
    <row r="32" spans="1:18" x14ac:dyDescent="0.25">
      <c r="B32" s="118"/>
      <c r="C32" s="118"/>
      <c r="D32" s="121"/>
      <c r="E32" s="121"/>
      <c r="F32" s="121"/>
      <c r="G32" s="121"/>
      <c r="H32" s="121"/>
      <c r="I32" s="121"/>
      <c r="J32" s="121"/>
      <c r="K32" s="121"/>
      <c r="L32" s="121"/>
      <c r="M32" s="121"/>
      <c r="N32" s="121"/>
      <c r="O32" s="121"/>
      <c r="P32" s="121"/>
      <c r="Q32" s="122"/>
      <c r="R32" s="122"/>
    </row>
    <row r="33" spans="1:18" x14ac:dyDescent="0.25">
      <c r="D33" s="263" t="s">
        <v>95</v>
      </c>
      <c r="E33" s="263"/>
      <c r="F33" s="263"/>
      <c r="G33" s="263"/>
      <c r="H33" s="263"/>
      <c r="I33" s="263"/>
      <c r="J33" s="263"/>
      <c r="K33" s="263"/>
      <c r="L33" s="263"/>
      <c r="M33" s="263"/>
      <c r="N33" s="263"/>
      <c r="O33" s="263"/>
      <c r="P33" s="263"/>
      <c r="Q33" s="264" t="s">
        <v>96</v>
      </c>
      <c r="R33" s="264"/>
    </row>
    <row r="34" spans="1:18" x14ac:dyDescent="0.25">
      <c r="A34" s="267" t="str">
        <f>+ESTIMACION!C33</f>
        <v>SUBCONTRATACIONES</v>
      </c>
      <c r="B34" s="267"/>
      <c r="C34" s="267"/>
      <c r="D34" s="101" t="s">
        <v>97</v>
      </c>
      <c r="E34" s="27" t="s">
        <v>98</v>
      </c>
      <c r="F34" s="27" t="s">
        <v>99</v>
      </c>
      <c r="G34" s="27" t="s">
        <v>100</v>
      </c>
      <c r="H34" s="27" t="s">
        <v>101</v>
      </c>
      <c r="I34" s="27" t="s">
        <v>102</v>
      </c>
      <c r="J34" s="27" t="s">
        <v>103</v>
      </c>
      <c r="K34" s="27" t="s">
        <v>104</v>
      </c>
      <c r="L34" s="27" t="s">
        <v>105</v>
      </c>
      <c r="M34" s="27" t="s">
        <v>106</v>
      </c>
      <c r="N34" s="27" t="s">
        <v>107</v>
      </c>
      <c r="O34" s="27" t="s">
        <v>108</v>
      </c>
      <c r="P34" s="84" t="s">
        <v>109</v>
      </c>
      <c r="Q34" s="102" t="s">
        <v>110</v>
      </c>
      <c r="R34" s="103" t="s">
        <v>111</v>
      </c>
    </row>
    <row r="35" spans="1:18" x14ac:dyDescent="0.25">
      <c r="A35" s="268" t="str">
        <f>+ESTIMACION!C37</f>
        <v>3D Designs S.L</v>
      </c>
      <c r="B35" s="268"/>
      <c r="C35" s="268"/>
      <c r="D35" s="104"/>
      <c r="E35" s="104"/>
      <c r="F35" s="104"/>
      <c r="G35" s="104"/>
      <c r="H35" s="104"/>
      <c r="I35" s="104"/>
      <c r="J35" s="104"/>
      <c r="K35" s="104"/>
      <c r="L35" s="104"/>
      <c r="M35" s="104"/>
      <c r="N35" s="104"/>
      <c r="O35" s="104"/>
      <c r="P35" s="105"/>
      <c r="Q35" s="106">
        <f>SUM(D35:P35)</f>
        <v>0</v>
      </c>
      <c r="R35" s="107">
        <f>+ESTIMACION!N37</f>
        <v>0</v>
      </c>
    </row>
    <row r="36" spans="1:18" x14ac:dyDescent="0.25">
      <c r="A36" s="269" t="str">
        <f>+ESTIMACION!C38</f>
        <v>Telefónica</v>
      </c>
      <c r="B36" s="269"/>
      <c r="C36" s="269"/>
      <c r="D36" s="108"/>
      <c r="E36" s="108"/>
      <c r="F36" s="108"/>
      <c r="G36" s="108"/>
      <c r="H36" s="108"/>
      <c r="I36" s="108"/>
      <c r="J36" s="108"/>
      <c r="K36" s="108"/>
      <c r="L36" s="108"/>
      <c r="M36" s="108"/>
      <c r="N36" s="108"/>
      <c r="O36" s="108"/>
      <c r="P36" s="109"/>
      <c r="Q36" s="106">
        <f>SUM(D36:P36)</f>
        <v>0</v>
      </c>
      <c r="R36" s="110">
        <f>+ESTIMACION!N38</f>
        <v>0</v>
      </c>
    </row>
    <row r="37" spans="1:18" x14ac:dyDescent="0.25">
      <c r="A37" s="269">
        <f>+ESTIMACION!C39</f>
        <v>0</v>
      </c>
      <c r="B37" s="269"/>
      <c r="C37" s="269"/>
      <c r="D37" s="108"/>
      <c r="E37" s="108"/>
      <c r="F37" s="108"/>
      <c r="G37" s="108"/>
      <c r="H37" s="108"/>
      <c r="I37" s="108"/>
      <c r="J37" s="108"/>
      <c r="K37" s="108"/>
      <c r="L37" s="108"/>
      <c r="M37" s="108"/>
      <c r="N37" s="108"/>
      <c r="O37" s="108"/>
      <c r="P37" s="109"/>
      <c r="Q37" s="106">
        <f>SUM(D37:P37)</f>
        <v>0</v>
      </c>
      <c r="R37" s="110">
        <f>+ESTIMACION!N39</f>
        <v>0</v>
      </c>
    </row>
    <row r="38" spans="1:18" x14ac:dyDescent="0.25">
      <c r="A38" s="266" t="str">
        <f>+ESTIMACION!C40</f>
        <v>[Insertar más líneas aquí]</v>
      </c>
      <c r="B38" s="266"/>
      <c r="C38" s="266"/>
      <c r="D38" s="111"/>
      <c r="E38" s="111"/>
      <c r="F38" s="111"/>
      <c r="G38" s="111"/>
      <c r="H38" s="111"/>
      <c r="I38" s="111"/>
      <c r="J38" s="111"/>
      <c r="K38" s="111"/>
      <c r="L38" s="111"/>
      <c r="M38" s="111"/>
      <c r="N38" s="111"/>
      <c r="O38" s="111"/>
      <c r="P38" s="112"/>
      <c r="Q38" s="113">
        <f>SUM(D38:P38)</f>
        <v>0</v>
      </c>
      <c r="R38" s="114">
        <f>+ESTIMACION!N40</f>
        <v>0</v>
      </c>
    </row>
    <row r="39" spans="1:18" x14ac:dyDescent="0.25">
      <c r="B39" s="118"/>
      <c r="C39" s="118"/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1"/>
      <c r="O39" s="121"/>
      <c r="P39" s="121"/>
      <c r="Q39" s="122"/>
      <c r="R39" s="122"/>
    </row>
    <row r="40" spans="1:18" x14ac:dyDescent="0.25">
      <c r="A40" s="241" t="s">
        <v>113</v>
      </c>
      <c r="B40" s="241"/>
      <c r="C40" s="241"/>
      <c r="D40" s="115">
        <f t="shared" ref="D40:O40" si="5">SUM(D35:D38)</f>
        <v>0</v>
      </c>
      <c r="E40" s="115">
        <f t="shared" si="5"/>
        <v>0</v>
      </c>
      <c r="F40" s="115">
        <f t="shared" si="5"/>
        <v>0</v>
      </c>
      <c r="G40" s="115">
        <f t="shared" si="5"/>
        <v>0</v>
      </c>
      <c r="H40" s="115">
        <f t="shared" si="5"/>
        <v>0</v>
      </c>
      <c r="I40" s="115">
        <f t="shared" si="5"/>
        <v>0</v>
      </c>
      <c r="J40" s="115">
        <f t="shared" si="5"/>
        <v>0</v>
      </c>
      <c r="K40" s="115">
        <f t="shared" si="5"/>
        <v>0</v>
      </c>
      <c r="L40" s="115">
        <f t="shared" si="5"/>
        <v>0</v>
      </c>
      <c r="M40" s="115">
        <f t="shared" si="5"/>
        <v>0</v>
      </c>
      <c r="N40" s="115">
        <f t="shared" si="5"/>
        <v>0</v>
      </c>
      <c r="O40" s="115">
        <f t="shared" si="5"/>
        <v>0</v>
      </c>
      <c r="P40" s="115" t="e">
        <f>SUMPRODUCT(ESTIMACION!$M$22:$M$29,'PLAN FINANCIERO'!P30:P38)</f>
        <v>#VALUE!</v>
      </c>
      <c r="Q40" s="116" t="e">
        <f>SUM(D40:P40)</f>
        <v>#VALUE!</v>
      </c>
      <c r="R40" s="117">
        <f>SUM(R35:R38)</f>
        <v>0</v>
      </c>
    </row>
    <row r="41" spans="1:18" x14ac:dyDescent="0.25">
      <c r="A41" s="118"/>
      <c r="B41" s="118"/>
      <c r="C41" s="118"/>
      <c r="D41" s="119"/>
      <c r="E41" s="119"/>
      <c r="F41" s="119"/>
      <c r="G41" s="119"/>
      <c r="H41" s="119"/>
      <c r="I41" s="119"/>
      <c r="J41" s="119"/>
      <c r="K41" s="119"/>
      <c r="L41" s="119"/>
      <c r="M41" s="119"/>
      <c r="N41" s="119"/>
      <c r="O41" s="119"/>
      <c r="P41" s="119"/>
      <c r="Q41" s="120"/>
      <c r="R41" s="120"/>
    </row>
    <row r="42" spans="1:18" x14ac:dyDescent="0.25">
      <c r="B42" s="118"/>
      <c r="C42" s="118"/>
      <c r="D42" s="121"/>
      <c r="E42" s="121"/>
      <c r="F42" s="121"/>
      <c r="G42" s="121"/>
      <c r="H42" s="121"/>
      <c r="I42" s="121"/>
      <c r="J42" s="121"/>
      <c r="K42" s="121"/>
      <c r="L42" s="121"/>
      <c r="M42" s="121"/>
      <c r="N42" s="121"/>
      <c r="O42" s="121"/>
      <c r="P42" s="121"/>
      <c r="Q42" s="122"/>
      <c r="R42" s="122"/>
    </row>
    <row r="43" spans="1:18" x14ac:dyDescent="0.25">
      <c r="D43" s="263" t="s">
        <v>95</v>
      </c>
      <c r="E43" s="263"/>
      <c r="F43" s="263"/>
      <c r="G43" s="263"/>
      <c r="H43" s="263"/>
      <c r="I43" s="263"/>
      <c r="J43" s="263"/>
      <c r="K43" s="263"/>
      <c r="L43" s="263"/>
      <c r="M43" s="263"/>
      <c r="N43" s="263"/>
      <c r="O43" s="263"/>
      <c r="P43" s="263"/>
      <c r="Q43" s="264" t="s">
        <v>96</v>
      </c>
      <c r="R43" s="264"/>
    </row>
    <row r="44" spans="1:18" x14ac:dyDescent="0.25">
      <c r="A44" s="267" t="str">
        <f>+ESTIMACION!C44</f>
        <v>EQUIPAMIENTO</v>
      </c>
      <c r="B44" s="267"/>
      <c r="C44" s="267"/>
      <c r="D44" s="101" t="s">
        <v>97</v>
      </c>
      <c r="E44" s="27" t="s">
        <v>98</v>
      </c>
      <c r="F44" s="27" t="s">
        <v>99</v>
      </c>
      <c r="G44" s="27" t="s">
        <v>100</v>
      </c>
      <c r="H44" s="27" t="s">
        <v>101</v>
      </c>
      <c r="I44" s="27" t="s">
        <v>102</v>
      </c>
      <c r="J44" s="27" t="s">
        <v>103</v>
      </c>
      <c r="K44" s="27" t="s">
        <v>104</v>
      </c>
      <c r="L44" s="27" t="s">
        <v>105</v>
      </c>
      <c r="M44" s="27" t="s">
        <v>106</v>
      </c>
      <c r="N44" s="27" t="s">
        <v>107</v>
      </c>
      <c r="O44" s="27" t="s">
        <v>108</v>
      </c>
      <c r="P44" s="84" t="s">
        <v>109</v>
      </c>
      <c r="Q44" s="102" t="s">
        <v>110</v>
      </c>
      <c r="R44" s="103" t="s">
        <v>111</v>
      </c>
    </row>
    <row r="45" spans="1:18" x14ac:dyDescent="0.25">
      <c r="A45" s="268" t="str">
        <f>+ESTIMACION!C48</f>
        <v>HW-SERV</v>
      </c>
      <c r="B45" s="268"/>
      <c r="C45" s="268"/>
      <c r="D45" s="123">
        <v>0</v>
      </c>
      <c r="E45" s="123">
        <v>0</v>
      </c>
      <c r="F45" s="123">
        <v>0</v>
      </c>
      <c r="G45" s="123">
        <v>0</v>
      </c>
      <c r="H45" s="123">
        <v>0</v>
      </c>
      <c r="I45" s="123">
        <v>0</v>
      </c>
      <c r="J45" s="123">
        <v>0</v>
      </c>
      <c r="K45" s="123">
        <v>0</v>
      </c>
      <c r="L45" s="123">
        <v>0</v>
      </c>
      <c r="M45" s="123">
        <f>4800+ 0.02*4800</f>
        <v>4896</v>
      </c>
      <c r="N45" s="123">
        <v>0</v>
      </c>
      <c r="O45" s="123">
        <v>0</v>
      </c>
      <c r="P45" s="124"/>
      <c r="Q45" s="125">
        <f>SUM(D45:P45)</f>
        <v>4896</v>
      </c>
      <c r="R45" s="126">
        <f>+ESTIMACION!N48</f>
        <v>4896</v>
      </c>
    </row>
    <row r="46" spans="1:18" x14ac:dyDescent="0.25">
      <c r="A46" s="269" t="str">
        <f>+ESTIMACION!C49</f>
        <v>SW-SERV</v>
      </c>
      <c r="B46" s="269"/>
      <c r="C46" s="269"/>
      <c r="D46" s="127">
        <v>0</v>
      </c>
      <c r="E46" s="127">
        <v>0</v>
      </c>
      <c r="F46" s="127">
        <v>0</v>
      </c>
      <c r="G46" s="127">
        <v>0</v>
      </c>
      <c r="H46" s="127">
        <v>0</v>
      </c>
      <c r="I46" s="127">
        <v>0</v>
      </c>
      <c r="J46" s="127">
        <v>0</v>
      </c>
      <c r="K46" s="127">
        <v>0</v>
      </c>
      <c r="L46" s="127">
        <v>0</v>
      </c>
      <c r="M46" s="127">
        <f>250+0.02*250</f>
        <v>255</v>
      </c>
      <c r="N46" s="127">
        <v>0</v>
      </c>
      <c r="O46" s="127">
        <v>0</v>
      </c>
      <c r="P46" s="128"/>
      <c r="Q46" s="125">
        <f>SUM(D46:P46)</f>
        <v>255</v>
      </c>
      <c r="R46" s="129">
        <f>+ESTIMACION!N49</f>
        <v>255</v>
      </c>
    </row>
    <row r="47" spans="1:18" x14ac:dyDescent="0.25">
      <c r="A47" s="269">
        <f>+ESTIMACION!C50</f>
        <v>0</v>
      </c>
      <c r="B47" s="269"/>
      <c r="C47" s="269"/>
      <c r="D47" s="127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8"/>
      <c r="Q47" s="125">
        <f>SUM(D47:P47)</f>
        <v>0</v>
      </c>
      <c r="R47" s="129">
        <f>+ESTIMACION!N50</f>
        <v>0</v>
      </c>
    </row>
    <row r="48" spans="1:18" x14ac:dyDescent="0.25">
      <c r="A48" s="266" t="str">
        <f>+ESTIMACION!C51</f>
        <v>[Insertar más líneas aquí]</v>
      </c>
      <c r="B48" s="266"/>
      <c r="C48" s="266"/>
      <c r="D48" s="130"/>
      <c r="E48" s="130"/>
      <c r="F48" s="130"/>
      <c r="G48" s="130"/>
      <c r="H48" s="130"/>
      <c r="I48" s="130"/>
      <c r="J48" s="130"/>
      <c r="K48" s="130"/>
      <c r="L48" s="130"/>
      <c r="M48" s="130"/>
      <c r="N48" s="130"/>
      <c r="O48" s="130"/>
      <c r="P48" s="131"/>
      <c r="Q48" s="132">
        <f>SUM(D48:P48)</f>
        <v>0</v>
      </c>
      <c r="R48" s="133">
        <f>+ESTIMACION!N51</f>
        <v>0</v>
      </c>
    </row>
    <row r="49" spans="1:18" x14ac:dyDescent="0.25">
      <c r="B49" s="118"/>
      <c r="C49" s="118"/>
      <c r="D49" s="121"/>
      <c r="E49" s="121"/>
      <c r="F49" s="121"/>
      <c r="G49" s="121"/>
      <c r="H49" s="121"/>
      <c r="I49" s="121"/>
      <c r="J49" s="121"/>
      <c r="K49" s="121"/>
      <c r="L49" s="121"/>
      <c r="M49" s="121"/>
      <c r="N49" s="121"/>
      <c r="O49" s="121"/>
      <c r="P49" s="121"/>
      <c r="Q49" s="122"/>
      <c r="R49" s="122"/>
    </row>
    <row r="50" spans="1:18" x14ac:dyDescent="0.25">
      <c r="A50" s="241" t="s">
        <v>114</v>
      </c>
      <c r="B50" s="241"/>
      <c r="C50" s="241"/>
      <c r="D50" s="115">
        <f t="shared" ref="D50:O50" si="6">SUM(D45:D48)</f>
        <v>0</v>
      </c>
      <c r="E50" s="115">
        <f t="shared" si="6"/>
        <v>0</v>
      </c>
      <c r="F50" s="115">
        <f t="shared" si="6"/>
        <v>0</v>
      </c>
      <c r="G50" s="115">
        <f t="shared" si="6"/>
        <v>0</v>
      </c>
      <c r="H50" s="115">
        <f t="shared" si="6"/>
        <v>0</v>
      </c>
      <c r="I50" s="115">
        <f t="shared" si="6"/>
        <v>0</v>
      </c>
      <c r="J50" s="115">
        <f t="shared" si="6"/>
        <v>0</v>
      </c>
      <c r="K50" s="115">
        <f t="shared" si="6"/>
        <v>0</v>
      </c>
      <c r="L50" s="115">
        <f t="shared" si="6"/>
        <v>0</v>
      </c>
      <c r="M50" s="115">
        <f t="shared" si="6"/>
        <v>5151</v>
      </c>
      <c r="N50" s="115">
        <f t="shared" si="6"/>
        <v>0</v>
      </c>
      <c r="O50" s="115">
        <f t="shared" si="6"/>
        <v>0</v>
      </c>
      <c r="P50" s="115"/>
      <c r="Q50" s="116">
        <f>SUM(D50:P50)</f>
        <v>5151</v>
      </c>
      <c r="R50" s="117">
        <f>SUM(R45:R48)</f>
        <v>5151</v>
      </c>
    </row>
    <row r="51" spans="1:18" x14ac:dyDescent="0.25">
      <c r="B51" s="118"/>
      <c r="C51" s="118"/>
      <c r="D51" s="121"/>
      <c r="E51" s="121"/>
      <c r="F51" s="121"/>
      <c r="G51" s="121"/>
      <c r="H51" s="121"/>
      <c r="I51" s="121"/>
      <c r="J51" s="121"/>
      <c r="K51" s="121"/>
      <c r="L51" s="121"/>
      <c r="M51" s="121"/>
      <c r="N51" s="121"/>
      <c r="O51" s="121"/>
      <c r="P51" s="121"/>
      <c r="Q51" s="122"/>
      <c r="R51" s="122"/>
    </row>
    <row r="52" spans="1:18" x14ac:dyDescent="0.25">
      <c r="B52" s="118"/>
      <c r="C52" s="118"/>
      <c r="D52" s="121"/>
      <c r="E52" s="121"/>
      <c r="F52" s="121"/>
      <c r="G52" s="121"/>
      <c r="H52" s="121"/>
      <c r="I52" s="121"/>
      <c r="J52" s="121"/>
      <c r="K52" s="121"/>
      <c r="L52" s="121"/>
      <c r="M52" s="121"/>
      <c r="N52" s="121"/>
      <c r="O52" s="121"/>
      <c r="P52" s="121"/>
      <c r="Q52" s="122"/>
      <c r="R52" s="122"/>
    </row>
    <row r="53" spans="1:18" x14ac:dyDescent="0.25">
      <c r="D53" s="263" t="s">
        <v>95</v>
      </c>
      <c r="E53" s="263"/>
      <c r="F53" s="263"/>
      <c r="G53" s="263"/>
      <c r="H53" s="263"/>
      <c r="I53" s="263"/>
      <c r="J53" s="263"/>
      <c r="K53" s="263"/>
      <c r="L53" s="263"/>
      <c r="M53" s="263"/>
      <c r="N53" s="263"/>
      <c r="O53" s="263"/>
      <c r="P53" s="263"/>
      <c r="Q53" s="264" t="s">
        <v>96</v>
      </c>
      <c r="R53" s="264"/>
    </row>
    <row r="54" spans="1:18" x14ac:dyDescent="0.25">
      <c r="A54" s="267" t="str">
        <f>+ESTIMACION!C69</f>
        <v>OTROS GASTOS</v>
      </c>
      <c r="B54" s="267"/>
      <c r="C54" s="267"/>
      <c r="D54" s="101" t="s">
        <v>97</v>
      </c>
      <c r="E54" s="27" t="s">
        <v>98</v>
      </c>
      <c r="F54" s="27" t="s">
        <v>99</v>
      </c>
      <c r="G54" s="27" t="s">
        <v>100</v>
      </c>
      <c r="H54" s="27" t="s">
        <v>101</v>
      </c>
      <c r="I54" s="27" t="s">
        <v>102</v>
      </c>
      <c r="J54" s="27" t="s">
        <v>103</v>
      </c>
      <c r="K54" s="27" t="s">
        <v>104</v>
      </c>
      <c r="L54" s="27" t="s">
        <v>105</v>
      </c>
      <c r="M54" s="27" t="s">
        <v>106</v>
      </c>
      <c r="N54" s="27" t="s">
        <v>107</v>
      </c>
      <c r="O54" s="27" t="s">
        <v>108</v>
      </c>
      <c r="P54" s="84" t="s">
        <v>109</v>
      </c>
      <c r="Q54" s="102" t="s">
        <v>110</v>
      </c>
      <c r="R54" s="103" t="s">
        <v>111</v>
      </c>
    </row>
    <row r="55" spans="1:18" x14ac:dyDescent="0.25">
      <c r="A55" s="268" t="str">
        <f>+ESTIMACION!C73</f>
        <v>MATERIAL FUNGIBLE</v>
      </c>
      <c r="B55" s="268"/>
      <c r="C55" s="268"/>
      <c r="D55" s="123">
        <v>110</v>
      </c>
      <c r="E55" s="123">
        <v>110</v>
      </c>
      <c r="F55" s="123">
        <v>110</v>
      </c>
      <c r="G55" s="123"/>
      <c r="H55" s="123"/>
      <c r="I55" s="123"/>
      <c r="J55" s="123"/>
      <c r="K55" s="123"/>
      <c r="L55" s="123"/>
      <c r="M55" s="123"/>
      <c r="N55" s="123"/>
      <c r="O55" s="123"/>
      <c r="P55" s="124"/>
      <c r="Q55" s="125">
        <f>SUM(D55:P55)</f>
        <v>330</v>
      </c>
      <c r="R55" s="126">
        <f>+ESTIMACION!N73</f>
        <v>330</v>
      </c>
    </row>
    <row r="56" spans="1:18" x14ac:dyDescent="0.25">
      <c r="A56" s="269" t="str">
        <f>+ESTIMACION!C74</f>
        <v>MATERIAL FUNGIBLE RESTO</v>
      </c>
      <c r="B56" s="269"/>
      <c r="C56" s="269"/>
      <c r="D56" s="127"/>
      <c r="E56" s="127"/>
      <c r="F56" s="127"/>
      <c r="G56" s="127">
        <v>55</v>
      </c>
      <c r="H56" s="127">
        <v>55</v>
      </c>
      <c r="I56" s="127">
        <v>55</v>
      </c>
      <c r="J56" s="127">
        <v>55</v>
      </c>
      <c r="K56" s="127">
        <v>55</v>
      </c>
      <c r="L56" s="127">
        <v>55</v>
      </c>
      <c r="M56" s="127">
        <v>55</v>
      </c>
      <c r="N56" s="127">
        <v>55</v>
      </c>
      <c r="O56" s="127">
        <v>55</v>
      </c>
      <c r="P56" s="128"/>
      <c r="Q56" s="125">
        <f>SUM(D56:P56)</f>
        <v>495</v>
      </c>
      <c r="R56" s="129">
        <f>+ESTIMACION!N74</f>
        <v>495</v>
      </c>
    </row>
    <row r="57" spans="1:18" x14ac:dyDescent="0.25">
      <c r="A57" s="269" t="str">
        <f>+ESTIMACION!C75</f>
        <v>VIAJES</v>
      </c>
      <c r="B57" s="269"/>
      <c r="C57" s="269"/>
      <c r="D57" s="127">
        <v>165</v>
      </c>
      <c r="E57" s="127"/>
      <c r="F57" s="127">
        <v>165</v>
      </c>
      <c r="G57" s="127"/>
      <c r="H57" s="127">
        <v>165</v>
      </c>
      <c r="I57" s="127"/>
      <c r="J57" s="127">
        <v>165</v>
      </c>
      <c r="K57" s="127"/>
      <c r="L57" s="127">
        <v>165</v>
      </c>
      <c r="M57" s="127"/>
      <c r="N57" s="127">
        <v>165</v>
      </c>
      <c r="O57" s="127"/>
      <c r="P57" s="128"/>
      <c r="Q57" s="125">
        <f>SUM(D57:P57)</f>
        <v>990</v>
      </c>
      <c r="R57" s="129">
        <f>+ESTIMACION!N75</f>
        <v>990</v>
      </c>
    </row>
    <row r="58" spans="1:18" x14ac:dyDescent="0.25">
      <c r="A58" s="266">
        <f>+ESTIMACION!C76</f>
        <v>0</v>
      </c>
      <c r="B58" s="266"/>
      <c r="C58" s="266"/>
      <c r="D58" s="130"/>
      <c r="E58" s="130"/>
      <c r="F58" s="130"/>
      <c r="G58" s="130"/>
      <c r="H58" s="130"/>
      <c r="I58" s="130"/>
      <c r="J58" s="130"/>
      <c r="K58" s="130"/>
      <c r="L58" s="130"/>
      <c r="M58" s="130"/>
      <c r="N58" s="130"/>
      <c r="O58" s="130"/>
      <c r="P58" s="131"/>
      <c r="Q58" s="132">
        <f>SUM(D58:P58)</f>
        <v>0</v>
      </c>
      <c r="R58" s="133">
        <f>+ESTIMACION!N76</f>
        <v>0</v>
      </c>
    </row>
    <row r="59" spans="1:18" x14ac:dyDescent="0.25">
      <c r="B59" s="118"/>
      <c r="C59" s="118"/>
      <c r="D59" s="121"/>
      <c r="E59" s="121"/>
      <c r="F59" s="121"/>
      <c r="G59" s="121"/>
      <c r="H59" s="121"/>
      <c r="I59" s="121"/>
      <c r="J59" s="121"/>
      <c r="K59" s="121"/>
      <c r="L59" s="121"/>
      <c r="M59" s="121"/>
      <c r="N59" s="121"/>
      <c r="O59" s="121"/>
      <c r="P59" s="121"/>
      <c r="Q59" s="122"/>
      <c r="R59" s="122"/>
    </row>
    <row r="60" spans="1:18" x14ac:dyDescent="0.25">
      <c r="A60" s="241" t="s">
        <v>114</v>
      </c>
      <c r="B60" s="241"/>
      <c r="C60" s="241"/>
      <c r="D60" s="115">
        <f t="shared" ref="D60:O60" si="7">SUM(D55:D58)</f>
        <v>275</v>
      </c>
      <c r="E60" s="115">
        <f t="shared" si="7"/>
        <v>110</v>
      </c>
      <c r="F60" s="115">
        <f t="shared" si="7"/>
        <v>275</v>
      </c>
      <c r="G60" s="115">
        <f t="shared" si="7"/>
        <v>55</v>
      </c>
      <c r="H60" s="115">
        <f t="shared" si="7"/>
        <v>220</v>
      </c>
      <c r="I60" s="115">
        <f t="shared" si="7"/>
        <v>55</v>
      </c>
      <c r="J60" s="115">
        <f t="shared" si="7"/>
        <v>220</v>
      </c>
      <c r="K60" s="115">
        <f t="shared" si="7"/>
        <v>55</v>
      </c>
      <c r="L60" s="115">
        <f t="shared" si="7"/>
        <v>220</v>
      </c>
      <c r="M60" s="115">
        <f t="shared" si="7"/>
        <v>55</v>
      </c>
      <c r="N60" s="115">
        <f t="shared" si="7"/>
        <v>220</v>
      </c>
      <c r="O60" s="115">
        <f t="shared" si="7"/>
        <v>55</v>
      </c>
      <c r="P60" s="115">
        <f>SUMPRODUCT(ESTIMACION!$M$22:$M$29,'PLAN FINANCIERO'!P51:P58)</f>
        <v>0</v>
      </c>
      <c r="Q60" s="116">
        <f>SUM(D60:P60)</f>
        <v>1815</v>
      </c>
      <c r="R60" s="117">
        <f>SUM(R55:R58)</f>
        <v>1815</v>
      </c>
    </row>
    <row r="61" spans="1:18" x14ac:dyDescent="0.25">
      <c r="B61" s="118"/>
      <c r="C61" s="118"/>
      <c r="D61" s="121"/>
      <c r="E61" s="121"/>
      <c r="F61" s="121"/>
      <c r="G61" s="121"/>
      <c r="H61" s="121"/>
      <c r="I61" s="121"/>
      <c r="J61" s="121"/>
      <c r="K61" s="121"/>
      <c r="L61" s="121"/>
      <c r="M61" s="121"/>
      <c r="N61" s="121"/>
      <c r="O61" s="121"/>
      <c r="P61" s="121"/>
      <c r="Q61" s="122"/>
      <c r="R61" s="122"/>
    </row>
    <row r="63" spans="1:18" x14ac:dyDescent="0.25">
      <c r="D63" s="263" t="s">
        <v>115</v>
      </c>
      <c r="E63" s="263"/>
      <c r="F63" s="263"/>
      <c r="G63" s="263"/>
      <c r="H63" s="263"/>
      <c r="I63" s="263"/>
      <c r="J63" s="263"/>
      <c r="K63" s="263"/>
      <c r="L63" s="263"/>
      <c r="M63" s="263"/>
      <c r="N63" s="263"/>
      <c r="O63" s="263"/>
      <c r="P63" s="263"/>
      <c r="Q63" s="264" t="s">
        <v>96</v>
      </c>
      <c r="R63" s="264"/>
    </row>
    <row r="64" spans="1:18" x14ac:dyDescent="0.25">
      <c r="B64" s="263" t="s">
        <v>4</v>
      </c>
      <c r="C64" s="263"/>
      <c r="D64" s="101" t="s">
        <v>97</v>
      </c>
      <c r="E64" s="101" t="s">
        <v>98</v>
      </c>
      <c r="F64" s="101" t="s">
        <v>99</v>
      </c>
      <c r="G64" s="101" t="s">
        <v>100</v>
      </c>
      <c r="H64" s="101" t="s">
        <v>101</v>
      </c>
      <c r="I64" s="101" t="s">
        <v>102</v>
      </c>
      <c r="J64" s="101" t="s">
        <v>103</v>
      </c>
      <c r="K64" s="101" t="s">
        <v>104</v>
      </c>
      <c r="L64" s="101" t="s">
        <v>105</v>
      </c>
      <c r="M64" s="101" t="s">
        <v>106</v>
      </c>
      <c r="N64" s="101" t="s">
        <v>107</v>
      </c>
      <c r="O64" s="101" t="s">
        <v>108</v>
      </c>
      <c r="P64" s="134" t="s">
        <v>109</v>
      </c>
      <c r="Q64" s="102" t="s">
        <v>110</v>
      </c>
      <c r="R64" s="103" t="s">
        <v>111</v>
      </c>
    </row>
    <row r="65" spans="1:21" x14ac:dyDescent="0.25">
      <c r="B65" s="265" t="str">
        <f>+ESTIMACION!C16</f>
        <v>PERSONAL</v>
      </c>
      <c r="C65" s="265"/>
      <c r="D65" s="135">
        <f>SUMPRODUCT(ESTIMACION!$M$22:$M$29,'PLAN FINANCIERO'!D21:D28)</f>
        <v>5284.2045454545469</v>
      </c>
      <c r="E65" s="135">
        <f>SUMPRODUCT(ESTIMACION!$M$22:$M$29,'PLAN FINANCIERO'!E21:E28)</f>
        <v>5173.5568181818189</v>
      </c>
      <c r="F65" s="135">
        <f>SUMPRODUCT(ESTIMACION!$M$22:$M$29,'PLAN FINANCIERO'!F21:F28)</f>
        <v>5062.909090909091</v>
      </c>
      <c r="G65" s="135">
        <f>SUMPRODUCT(ESTIMACION!$M$22:$M$29,'PLAN FINANCIERO'!G21:G28)</f>
        <v>5062.909090909091</v>
      </c>
      <c r="H65" s="135">
        <f>SUMPRODUCT(ESTIMACION!$M$22:$M$29,'PLAN FINANCIERO'!H21:H28)</f>
        <v>5987.3863636363631</v>
      </c>
      <c r="I65" s="135">
        <f>SUMPRODUCT(ESTIMACION!$M$22:$M$29,'PLAN FINANCIERO'!I21:I28)</f>
        <v>5987.3863636363631</v>
      </c>
      <c r="J65" s="135">
        <f>SUMPRODUCT(ESTIMACION!$M$22:$M$29,'PLAN FINANCIERO'!J21:J28)</f>
        <v>5987.3863636363631</v>
      </c>
      <c r="K65" s="135">
        <f>SUMPRODUCT(ESTIMACION!$M$22:$M$29,'PLAN FINANCIERO'!K21:K28)</f>
        <v>5987.3863636363631</v>
      </c>
      <c r="L65" s="135">
        <f>SUMPRODUCT(ESTIMACION!$M$22:$M$29,'PLAN FINANCIERO'!L21:L28)</f>
        <v>5987.3863636363631</v>
      </c>
      <c r="M65" s="135">
        <f>SUMPRODUCT(ESTIMACION!$M$22:$M$29,'PLAN FINANCIERO'!M21:M28)</f>
        <v>5987.3863636363631</v>
      </c>
      <c r="N65" s="135">
        <f>SUMPRODUCT(ESTIMACION!$M$22:$M$29,'PLAN FINANCIERO'!N21:N28)</f>
        <v>5297.1306818181811</v>
      </c>
      <c r="O65" s="135">
        <f>SUMPRODUCT(ESTIMACION!$M$22:$M$29,'PLAN FINANCIERO'!O21:O28)</f>
        <v>5297.1306818181811</v>
      </c>
      <c r="P65" s="135"/>
      <c r="Q65" s="136">
        <f>SUM(D65:P65)</f>
        <v>67102.159090909088</v>
      </c>
      <c r="R65" s="137">
        <f>SUMPRODUCT(ESTIMACION!$M$22:$M$29,'PLAN FINANCIERO'!R21:R28)</f>
        <v>67102.159090909088</v>
      </c>
      <c r="T65" s="15"/>
    </row>
    <row r="66" spans="1:21" x14ac:dyDescent="0.25">
      <c r="B66" s="265" t="str">
        <f>+ESTIMACION!C33</f>
        <v>SUBCONTRATACIONES</v>
      </c>
      <c r="C66" s="265"/>
      <c r="D66" s="138">
        <f t="shared" ref="D66:O66" si="8">+D40</f>
        <v>0</v>
      </c>
      <c r="E66" s="138">
        <f t="shared" si="8"/>
        <v>0</v>
      </c>
      <c r="F66" s="138">
        <f t="shared" si="8"/>
        <v>0</v>
      </c>
      <c r="G66" s="138">
        <f t="shared" si="8"/>
        <v>0</v>
      </c>
      <c r="H66" s="138">
        <f t="shared" si="8"/>
        <v>0</v>
      </c>
      <c r="I66" s="138">
        <f t="shared" si="8"/>
        <v>0</v>
      </c>
      <c r="J66" s="138">
        <f t="shared" si="8"/>
        <v>0</v>
      </c>
      <c r="K66" s="138">
        <f t="shared" si="8"/>
        <v>0</v>
      </c>
      <c r="L66" s="138">
        <f t="shared" si="8"/>
        <v>0</v>
      </c>
      <c r="M66" s="138">
        <f t="shared" si="8"/>
        <v>0</v>
      </c>
      <c r="N66" s="138">
        <f t="shared" si="8"/>
        <v>0</v>
      </c>
      <c r="O66" s="138">
        <f t="shared" si="8"/>
        <v>0</v>
      </c>
      <c r="P66" s="139"/>
      <c r="Q66" s="136">
        <f>SUM(D66:P66)</f>
        <v>0</v>
      </c>
      <c r="R66" s="137">
        <f>+ESTIMACION!N42</f>
        <v>0</v>
      </c>
      <c r="T66" s="15"/>
    </row>
    <row r="67" spans="1:21" x14ac:dyDescent="0.25">
      <c r="B67" s="265" t="str">
        <f>+ESTIMACION!C44</f>
        <v>EQUIPAMIENTO</v>
      </c>
      <c r="C67" s="265"/>
      <c r="D67" s="138">
        <f t="shared" ref="D67:O67" si="9">+D50</f>
        <v>0</v>
      </c>
      <c r="E67" s="138">
        <f t="shared" si="9"/>
        <v>0</v>
      </c>
      <c r="F67" s="138">
        <f t="shared" si="9"/>
        <v>0</v>
      </c>
      <c r="G67" s="138">
        <f t="shared" si="9"/>
        <v>0</v>
      </c>
      <c r="H67" s="138">
        <f t="shared" si="9"/>
        <v>0</v>
      </c>
      <c r="I67" s="138">
        <f t="shared" si="9"/>
        <v>0</v>
      </c>
      <c r="J67" s="138">
        <f t="shared" si="9"/>
        <v>0</v>
      </c>
      <c r="K67" s="138">
        <f t="shared" si="9"/>
        <v>0</v>
      </c>
      <c r="L67" s="138">
        <f t="shared" si="9"/>
        <v>0</v>
      </c>
      <c r="M67" s="138">
        <f t="shared" si="9"/>
        <v>5151</v>
      </c>
      <c r="N67" s="138">
        <f t="shared" si="9"/>
        <v>0</v>
      </c>
      <c r="O67" s="138">
        <f t="shared" si="9"/>
        <v>0</v>
      </c>
      <c r="P67" s="138"/>
      <c r="Q67" s="136">
        <f>SUM(D67:P67)</f>
        <v>5151</v>
      </c>
      <c r="R67" s="137">
        <f>+ESTIMACION!N53</f>
        <v>5151</v>
      </c>
      <c r="T67" s="15"/>
    </row>
    <row r="68" spans="1:21" x14ac:dyDescent="0.25">
      <c r="B68" s="265" t="str">
        <f>+ESTIMACION!C69</f>
        <v>OTROS GASTOS</v>
      </c>
      <c r="C68" s="265"/>
      <c r="D68" s="138">
        <f t="shared" ref="D68:O68" si="10">+D60</f>
        <v>275</v>
      </c>
      <c r="E68" s="138">
        <f t="shared" si="10"/>
        <v>110</v>
      </c>
      <c r="F68" s="138">
        <f t="shared" si="10"/>
        <v>275</v>
      </c>
      <c r="G68" s="138">
        <f t="shared" si="10"/>
        <v>55</v>
      </c>
      <c r="H68" s="138">
        <f t="shared" si="10"/>
        <v>220</v>
      </c>
      <c r="I68" s="138">
        <f t="shared" si="10"/>
        <v>55</v>
      </c>
      <c r="J68" s="138">
        <f t="shared" si="10"/>
        <v>220</v>
      </c>
      <c r="K68" s="138">
        <f t="shared" si="10"/>
        <v>55</v>
      </c>
      <c r="L68" s="138">
        <f t="shared" si="10"/>
        <v>220</v>
      </c>
      <c r="M68" s="138">
        <f t="shared" si="10"/>
        <v>55</v>
      </c>
      <c r="N68" s="138">
        <f t="shared" si="10"/>
        <v>220</v>
      </c>
      <c r="O68" s="138">
        <f t="shared" si="10"/>
        <v>55</v>
      </c>
      <c r="P68" s="138"/>
      <c r="Q68" s="140">
        <f>SUM(D68:P68)</f>
        <v>1815</v>
      </c>
      <c r="R68" s="141">
        <f>+ESTIMACION!N79</f>
        <v>1815</v>
      </c>
      <c r="S68" s="142"/>
      <c r="T68" s="15"/>
    </row>
    <row r="69" spans="1:21" x14ac:dyDescent="0.25">
      <c r="T69" s="15"/>
    </row>
    <row r="70" spans="1:21" x14ac:dyDescent="0.25">
      <c r="B70" s="241" t="s">
        <v>77</v>
      </c>
      <c r="C70" s="241"/>
      <c r="D70" s="143">
        <f t="shared" ref="D70:R70" si="11">SUM(D65:D68)</f>
        <v>5559.2045454545469</v>
      </c>
      <c r="E70" s="143">
        <f t="shared" si="11"/>
        <v>5283.5568181818189</v>
      </c>
      <c r="F70" s="143">
        <f t="shared" si="11"/>
        <v>5337.909090909091</v>
      </c>
      <c r="G70" s="143">
        <f t="shared" si="11"/>
        <v>5117.909090909091</v>
      </c>
      <c r="H70" s="143">
        <f t="shared" si="11"/>
        <v>6207.3863636363631</v>
      </c>
      <c r="I70" s="143">
        <f t="shared" si="11"/>
        <v>6042.3863636363631</v>
      </c>
      <c r="J70" s="143">
        <f t="shared" si="11"/>
        <v>6207.3863636363631</v>
      </c>
      <c r="K70" s="143">
        <f t="shared" si="11"/>
        <v>6042.3863636363631</v>
      </c>
      <c r="L70" s="143">
        <f t="shared" si="11"/>
        <v>6207.3863636363631</v>
      </c>
      <c r="M70" s="143">
        <f t="shared" si="11"/>
        <v>11193.386363636364</v>
      </c>
      <c r="N70" s="143">
        <f t="shared" si="11"/>
        <v>5517.1306818181811</v>
      </c>
      <c r="O70" s="143">
        <f t="shared" si="11"/>
        <v>5352.1306818181811</v>
      </c>
      <c r="P70" s="143">
        <f t="shared" si="11"/>
        <v>0</v>
      </c>
      <c r="Q70" s="116">
        <f t="shared" si="11"/>
        <v>74068.159090909088</v>
      </c>
      <c r="R70" s="144">
        <f t="shared" si="11"/>
        <v>74068.159090909088</v>
      </c>
    </row>
    <row r="71" spans="1:21" x14ac:dyDescent="0.25">
      <c r="B71" s="241" t="s">
        <v>116</v>
      </c>
      <c r="C71" s="241"/>
      <c r="D71" s="143">
        <f>+D70</f>
        <v>5559.2045454545469</v>
      </c>
      <c r="E71" s="143">
        <f t="shared" ref="E71:P71" si="12">+D71+E70</f>
        <v>10842.761363636366</v>
      </c>
      <c r="F71" s="143">
        <f t="shared" si="12"/>
        <v>16180.670454545456</v>
      </c>
      <c r="G71" s="143">
        <f t="shared" si="12"/>
        <v>21298.579545454548</v>
      </c>
      <c r="H71" s="143">
        <f t="shared" si="12"/>
        <v>27505.965909090912</v>
      </c>
      <c r="I71" s="143">
        <f t="shared" si="12"/>
        <v>33548.352272727272</v>
      </c>
      <c r="J71" s="143">
        <f t="shared" si="12"/>
        <v>39755.738636363632</v>
      </c>
      <c r="K71" s="143">
        <f t="shared" si="12"/>
        <v>45798.124999999993</v>
      </c>
      <c r="L71" s="143">
        <f t="shared" si="12"/>
        <v>52005.511363636353</v>
      </c>
      <c r="M71" s="143">
        <f t="shared" si="12"/>
        <v>63198.897727272721</v>
      </c>
      <c r="N71" s="143">
        <f t="shared" si="12"/>
        <v>68716.028409090897</v>
      </c>
      <c r="O71" s="143">
        <f t="shared" si="12"/>
        <v>74068.159090909074</v>
      </c>
      <c r="P71" s="143">
        <f t="shared" si="12"/>
        <v>74068.159090909074</v>
      </c>
    </row>
    <row r="72" spans="1:21" x14ac:dyDescent="0.25">
      <c r="B72" s="118"/>
      <c r="C72" s="118"/>
      <c r="D72" s="145"/>
      <c r="E72" s="145"/>
      <c r="F72" s="145"/>
      <c r="G72" s="145"/>
      <c r="H72" s="145"/>
      <c r="I72" s="145"/>
      <c r="J72" s="145"/>
      <c r="K72" s="145"/>
      <c r="L72" s="145"/>
      <c r="M72" s="145"/>
      <c r="N72" s="145"/>
      <c r="O72" s="145"/>
      <c r="P72" s="145"/>
    </row>
    <row r="73" spans="1:21" x14ac:dyDescent="0.25">
      <c r="A73" s="226" t="s">
        <v>117</v>
      </c>
      <c r="B73" s="226"/>
      <c r="C73" s="226"/>
      <c r="D73" s="226"/>
      <c r="E73" s="226"/>
      <c r="F73" s="226"/>
      <c r="G73" s="226"/>
      <c r="H73" s="226"/>
      <c r="I73" s="226"/>
      <c r="J73" s="226"/>
      <c r="K73" s="226"/>
      <c r="L73" s="226"/>
      <c r="M73" s="226"/>
      <c r="N73" s="226"/>
      <c r="O73" s="226"/>
      <c r="P73" s="226"/>
      <c r="Q73" s="226"/>
      <c r="R73" s="226"/>
    </row>
    <row r="74" spans="1:21" x14ac:dyDescent="0.25">
      <c r="B74" s="118"/>
      <c r="C74" s="118"/>
      <c r="D74" s="145"/>
      <c r="E74" s="145"/>
      <c r="F74" s="145"/>
      <c r="G74" s="145"/>
      <c r="H74" s="145"/>
      <c r="I74" s="145"/>
      <c r="J74" s="145"/>
      <c r="K74" s="145"/>
      <c r="L74" s="145"/>
      <c r="M74" s="145"/>
      <c r="N74" s="145"/>
      <c r="O74" s="145"/>
      <c r="P74" s="145"/>
    </row>
    <row r="75" spans="1:21" x14ac:dyDescent="0.25">
      <c r="D75" s="263" t="s">
        <v>118</v>
      </c>
      <c r="E75" s="263"/>
      <c r="F75" s="263"/>
      <c r="G75" s="263"/>
      <c r="H75" s="263"/>
      <c r="I75" s="263"/>
      <c r="J75" s="263"/>
      <c r="K75" s="263"/>
      <c r="L75" s="263"/>
      <c r="M75" s="263"/>
      <c r="N75" s="263"/>
      <c r="O75" s="263"/>
      <c r="P75" s="263"/>
      <c r="Q75" s="264" t="s">
        <v>96</v>
      </c>
      <c r="R75" s="264"/>
    </row>
    <row r="76" spans="1:21" x14ac:dyDescent="0.25">
      <c r="B76" s="263" t="s">
        <v>4</v>
      </c>
      <c r="C76" s="263"/>
      <c r="D76" s="101" t="s">
        <v>97</v>
      </c>
      <c r="E76" s="101" t="s">
        <v>98</v>
      </c>
      <c r="F76" s="101" t="s">
        <v>99</v>
      </c>
      <c r="G76" s="101" t="s">
        <v>100</v>
      </c>
      <c r="H76" s="101" t="s">
        <v>101</v>
      </c>
      <c r="I76" s="101" t="s">
        <v>102</v>
      </c>
      <c r="J76" s="101" t="s">
        <v>103</v>
      </c>
      <c r="K76" s="101" t="s">
        <v>104</v>
      </c>
      <c r="L76" s="101" t="s">
        <v>105</v>
      </c>
      <c r="M76" s="101" t="s">
        <v>106</v>
      </c>
      <c r="N76" s="101" t="s">
        <v>107</v>
      </c>
      <c r="O76" s="101" t="s">
        <v>108</v>
      </c>
      <c r="P76" s="134" t="s">
        <v>109</v>
      </c>
      <c r="Q76" s="102" t="s">
        <v>110</v>
      </c>
      <c r="R76" s="103" t="s">
        <v>111</v>
      </c>
    </row>
    <row r="77" spans="1:21" x14ac:dyDescent="0.25">
      <c r="B77" s="241" t="s">
        <v>119</v>
      </c>
      <c r="C77" s="241"/>
      <c r="D77" s="146">
        <f>R77*0.2</f>
        <v>19429.798030303031</v>
      </c>
      <c r="E77" s="146"/>
      <c r="F77" s="146"/>
      <c r="G77" s="146"/>
      <c r="H77" s="146"/>
      <c r="I77" s="146">
        <f>R77*0.2</f>
        <v>19429.798030303031</v>
      </c>
      <c r="J77" s="146"/>
      <c r="K77" s="146"/>
      <c r="L77" s="146"/>
      <c r="M77" s="146"/>
      <c r="N77" s="146"/>
      <c r="O77" s="146">
        <f>R77*0.6</f>
        <v>58289.394090909082</v>
      </c>
      <c r="P77" s="146"/>
      <c r="Q77" s="116">
        <f>SUM(D77:P77)</f>
        <v>97148.990151515143</v>
      </c>
      <c r="R77" s="147">
        <f>+ESTIMACION!N94</f>
        <v>97148.990151515143</v>
      </c>
      <c r="S77" s="142"/>
      <c r="U77" s="148"/>
    </row>
    <row r="78" spans="1:21" x14ac:dyDescent="0.25">
      <c r="B78" s="241" t="s">
        <v>120</v>
      </c>
      <c r="C78" s="241"/>
      <c r="D78" s="143">
        <f>+D77</f>
        <v>19429.798030303031</v>
      </c>
      <c r="E78" s="143">
        <f t="shared" ref="E78:P78" si="13">+D78+E77</f>
        <v>19429.798030303031</v>
      </c>
      <c r="F78" s="143">
        <f t="shared" si="13"/>
        <v>19429.798030303031</v>
      </c>
      <c r="G78" s="143">
        <f t="shared" si="13"/>
        <v>19429.798030303031</v>
      </c>
      <c r="H78" s="143">
        <f t="shared" si="13"/>
        <v>19429.798030303031</v>
      </c>
      <c r="I78" s="143">
        <f t="shared" si="13"/>
        <v>38859.596060606062</v>
      </c>
      <c r="J78" s="143">
        <f t="shared" si="13"/>
        <v>38859.596060606062</v>
      </c>
      <c r="K78" s="143">
        <f t="shared" si="13"/>
        <v>38859.596060606062</v>
      </c>
      <c r="L78" s="143">
        <f t="shared" si="13"/>
        <v>38859.596060606062</v>
      </c>
      <c r="M78" s="143">
        <f t="shared" si="13"/>
        <v>38859.596060606062</v>
      </c>
      <c r="N78" s="143">
        <f t="shared" si="13"/>
        <v>38859.596060606062</v>
      </c>
      <c r="O78" s="143">
        <f t="shared" si="13"/>
        <v>97148.990151515143</v>
      </c>
      <c r="P78" s="143">
        <f t="shared" si="13"/>
        <v>97148.990151515143</v>
      </c>
    </row>
    <row r="81" spans="1:20" x14ac:dyDescent="0.25">
      <c r="A81" s="226" t="s">
        <v>121</v>
      </c>
      <c r="B81" s="226"/>
      <c r="C81" s="226"/>
      <c r="D81" s="226"/>
      <c r="E81" s="226"/>
      <c r="F81" s="226"/>
      <c r="G81" s="226"/>
      <c r="H81" s="226"/>
      <c r="I81" s="226"/>
      <c r="J81" s="226"/>
      <c r="K81" s="226"/>
      <c r="L81" s="226"/>
      <c r="M81" s="226"/>
      <c r="N81" s="226"/>
      <c r="O81" s="226"/>
      <c r="P81" s="226"/>
      <c r="Q81" s="226"/>
      <c r="R81" s="226"/>
    </row>
    <row r="83" spans="1:20" x14ac:dyDescent="0.25">
      <c r="D83" s="241" t="s">
        <v>122</v>
      </c>
      <c r="E83" s="241"/>
      <c r="F83" s="241"/>
      <c r="G83" s="241"/>
      <c r="H83" s="241"/>
      <c r="I83" s="241"/>
      <c r="J83" s="241"/>
      <c r="K83" s="241"/>
      <c r="L83" s="241"/>
      <c r="M83" s="241"/>
      <c r="N83" s="241"/>
      <c r="O83" s="241"/>
      <c r="P83" s="241"/>
    </row>
    <row r="84" spans="1:20" x14ac:dyDescent="0.25">
      <c r="B84" s="263" t="s">
        <v>4</v>
      </c>
      <c r="C84" s="263"/>
      <c r="D84" s="134">
        <v>1</v>
      </c>
      <c r="E84" s="101">
        <v>2</v>
      </c>
      <c r="F84" s="149">
        <v>3</v>
      </c>
      <c r="G84" s="101">
        <v>4</v>
      </c>
      <c r="H84" s="149">
        <v>5</v>
      </c>
      <c r="I84" s="101">
        <v>6</v>
      </c>
      <c r="J84" s="149">
        <v>7</v>
      </c>
      <c r="K84" s="101">
        <v>8</v>
      </c>
      <c r="L84" s="149">
        <v>9</v>
      </c>
      <c r="M84" s="101">
        <v>10</v>
      </c>
      <c r="N84" s="149">
        <v>11</v>
      </c>
      <c r="O84" s="101">
        <v>12</v>
      </c>
      <c r="P84" s="149">
        <v>13</v>
      </c>
      <c r="Q84" s="150" t="s">
        <v>110</v>
      </c>
      <c r="R84" s="151" t="s">
        <v>111</v>
      </c>
    </row>
    <row r="85" spans="1:20" x14ac:dyDescent="0.25">
      <c r="B85" s="260" t="s">
        <v>123</v>
      </c>
      <c r="C85" s="260"/>
      <c r="D85" s="152">
        <f t="shared" ref="D85:P85" si="14">+D77-D70</f>
        <v>13870.593484848483</v>
      </c>
      <c r="E85" s="153">
        <f t="shared" si="14"/>
        <v>-5283.5568181818189</v>
      </c>
      <c r="F85" s="154">
        <f t="shared" si="14"/>
        <v>-5337.909090909091</v>
      </c>
      <c r="G85" s="153">
        <f t="shared" si="14"/>
        <v>-5117.909090909091</v>
      </c>
      <c r="H85" s="154">
        <f t="shared" si="14"/>
        <v>-6207.3863636363631</v>
      </c>
      <c r="I85" s="153">
        <f t="shared" si="14"/>
        <v>13387.411666666667</v>
      </c>
      <c r="J85" s="154">
        <f t="shared" si="14"/>
        <v>-6207.3863636363631</v>
      </c>
      <c r="K85" s="153">
        <f t="shared" si="14"/>
        <v>-6042.3863636363631</v>
      </c>
      <c r="L85" s="154">
        <f t="shared" si="14"/>
        <v>-6207.3863636363631</v>
      </c>
      <c r="M85" s="153">
        <f t="shared" si="14"/>
        <v>-11193.386363636364</v>
      </c>
      <c r="N85" s="154">
        <f t="shared" si="14"/>
        <v>-5517.1306818181811</v>
      </c>
      <c r="O85" s="153">
        <f t="shared" si="14"/>
        <v>52937.263409090898</v>
      </c>
      <c r="P85" s="154">
        <f t="shared" si="14"/>
        <v>0</v>
      </c>
      <c r="Q85" s="140">
        <f>SUM(D85:P85)</f>
        <v>23080.831060606051</v>
      </c>
      <c r="R85" s="155">
        <f>+ESTIMACION!M94+ESTIMACION!K91</f>
        <v>23080.831060606055</v>
      </c>
      <c r="T85" s="142"/>
    </row>
    <row r="86" spans="1:20" x14ac:dyDescent="0.25">
      <c r="B86" s="261" t="s">
        <v>124</v>
      </c>
      <c r="C86" s="261"/>
      <c r="D86" s="156">
        <f>+D85</f>
        <v>13870.593484848483</v>
      </c>
      <c r="E86" s="157">
        <f t="shared" ref="E86:P86" si="15">+D86+E85</f>
        <v>8587.0366666666632</v>
      </c>
      <c r="F86" s="158">
        <f t="shared" si="15"/>
        <v>3249.1275757575722</v>
      </c>
      <c r="G86" s="157">
        <f t="shared" si="15"/>
        <v>-1868.7815151515188</v>
      </c>
      <c r="H86" s="158">
        <f t="shared" si="15"/>
        <v>-8076.1678787878818</v>
      </c>
      <c r="I86" s="157">
        <f t="shared" si="15"/>
        <v>5311.243787878785</v>
      </c>
      <c r="J86" s="158">
        <f t="shared" si="15"/>
        <v>-896.14257575757802</v>
      </c>
      <c r="K86" s="157">
        <f t="shared" si="15"/>
        <v>-6938.5289393939411</v>
      </c>
      <c r="L86" s="158">
        <f t="shared" si="15"/>
        <v>-13145.915303030304</v>
      </c>
      <c r="M86" s="157">
        <f t="shared" si="15"/>
        <v>-24339.301666666666</v>
      </c>
      <c r="N86" s="158">
        <f t="shared" si="15"/>
        <v>-29856.432348484846</v>
      </c>
      <c r="O86" s="157">
        <f t="shared" si="15"/>
        <v>23080.831060606051</v>
      </c>
      <c r="P86" s="159">
        <f t="shared" si="15"/>
        <v>23080.831060606051</v>
      </c>
    </row>
    <row r="87" spans="1:20" x14ac:dyDescent="0.25">
      <c r="B87" s="260" t="s">
        <v>125</v>
      </c>
      <c r="C87" s="260"/>
      <c r="D87" s="160">
        <f t="shared" ref="D87:P87" si="16">+D85/(1+$F$90)^D84</f>
        <v>13781.920195338014</v>
      </c>
      <c r="E87" s="160">
        <f t="shared" si="16"/>
        <v>-5216.2182728760936</v>
      </c>
      <c r="F87" s="160">
        <f t="shared" si="16"/>
        <v>-5236.1880383613243</v>
      </c>
      <c r="G87" s="160">
        <f t="shared" si="16"/>
        <v>-4988.2856547930223</v>
      </c>
      <c r="H87" s="160">
        <f t="shared" si="16"/>
        <v>-6011.4911632540652</v>
      </c>
      <c r="I87" s="160">
        <f t="shared" si="16"/>
        <v>12882.042882503896</v>
      </c>
      <c r="J87" s="160">
        <f t="shared" si="16"/>
        <v>-5934.8751479481016</v>
      </c>
      <c r="K87" s="160">
        <f t="shared" si="16"/>
        <v>-5740.1863013030306</v>
      </c>
      <c r="L87" s="160">
        <f t="shared" si="16"/>
        <v>-5859.2355981549281</v>
      </c>
      <c r="M87" s="160">
        <f t="shared" si="16"/>
        <v>-10498.043428864023</v>
      </c>
      <c r="N87" s="160">
        <f t="shared" si="16"/>
        <v>-5141.3222840239105</v>
      </c>
      <c r="O87" s="160">
        <f t="shared" si="16"/>
        <v>49015.984638047135</v>
      </c>
      <c r="P87" s="161">
        <f t="shared" si="16"/>
        <v>0</v>
      </c>
    </row>
    <row r="88" spans="1:20" x14ac:dyDescent="0.25">
      <c r="B88" s="262" t="s">
        <v>126</v>
      </c>
      <c r="C88" s="262"/>
      <c r="D88" s="162">
        <f>+D87</f>
        <v>13781.920195338014</v>
      </c>
      <c r="E88" s="163">
        <f t="shared" ref="E88:O88" si="17">+D88+E87</f>
        <v>8565.7019224619216</v>
      </c>
      <c r="F88" s="163">
        <f t="shared" si="17"/>
        <v>3329.5138841005974</v>
      </c>
      <c r="G88" s="163">
        <f t="shared" si="17"/>
        <v>-1658.771770692425</v>
      </c>
      <c r="H88" s="163">
        <f t="shared" si="17"/>
        <v>-7670.2629339464902</v>
      </c>
      <c r="I88" s="163">
        <f t="shared" si="17"/>
        <v>5211.779948557406</v>
      </c>
      <c r="J88" s="163">
        <f t="shared" si="17"/>
        <v>-723.0951993906956</v>
      </c>
      <c r="K88" s="163">
        <f t="shared" si="17"/>
        <v>-6463.2815006937262</v>
      </c>
      <c r="L88" s="163">
        <f t="shared" si="17"/>
        <v>-12322.517098848653</v>
      </c>
      <c r="M88" s="163">
        <f t="shared" si="17"/>
        <v>-22820.560527712674</v>
      </c>
      <c r="N88" s="163">
        <f t="shared" si="17"/>
        <v>-27961.882811736585</v>
      </c>
      <c r="O88" s="164">
        <f t="shared" si="17"/>
        <v>21054.101826310551</v>
      </c>
      <c r="P88" s="163">
        <f>+P87</f>
        <v>0</v>
      </c>
    </row>
    <row r="90" spans="1:20" x14ac:dyDescent="0.25">
      <c r="B90" t="s">
        <v>127</v>
      </c>
      <c r="F90" s="165">
        <f>+POWER((1+M15),(30/360))-1</f>
        <v>6.4340301100034303E-3</v>
      </c>
    </row>
    <row r="93" spans="1:20" x14ac:dyDescent="0.25">
      <c r="B93" t="s">
        <v>128</v>
      </c>
      <c r="F93" t="s">
        <v>129</v>
      </c>
    </row>
    <row r="95" spans="1:20" x14ac:dyDescent="0.25">
      <c r="C95" t="s">
        <v>130</v>
      </c>
      <c r="D95" s="166">
        <v>0</v>
      </c>
      <c r="F95" t="s">
        <v>131</v>
      </c>
      <c r="H95" s="165">
        <f>POWER((1+D95),(30/360))-1</f>
        <v>0</v>
      </c>
    </row>
    <row r="96" spans="1:20" x14ac:dyDescent="0.25">
      <c r="C96" t="s">
        <v>131</v>
      </c>
      <c r="D96" s="166">
        <v>0</v>
      </c>
      <c r="F96" t="s">
        <v>130</v>
      </c>
      <c r="H96" s="165">
        <f>POWER((1+D96),(360/30))-1</f>
        <v>0</v>
      </c>
    </row>
  </sheetData>
  <mergeCells count="84">
    <mergeCell ref="A1:R1"/>
    <mergeCell ref="A3:R3"/>
    <mergeCell ref="A5:B5"/>
    <mergeCell ref="C5:G5"/>
    <mergeCell ref="I5:J5"/>
    <mergeCell ref="K5:N5"/>
    <mergeCell ref="C6:G6"/>
    <mergeCell ref="I6:J6"/>
    <mergeCell ref="K6:N6"/>
    <mergeCell ref="A8:C8"/>
    <mergeCell ref="D8:F8"/>
    <mergeCell ref="I8:J8"/>
    <mergeCell ref="K8:M8"/>
    <mergeCell ref="A10:C10"/>
    <mergeCell ref="D10:F10"/>
    <mergeCell ref="I10:K10"/>
    <mergeCell ref="L10:M10"/>
    <mergeCell ref="I11:K11"/>
    <mergeCell ref="L11:M11"/>
    <mergeCell ref="I12:K12"/>
    <mergeCell ref="L12:M12"/>
    <mergeCell ref="I14:L14"/>
    <mergeCell ref="M14:N14"/>
    <mergeCell ref="I15:L15"/>
    <mergeCell ref="M15:N15"/>
    <mergeCell ref="A17:R17"/>
    <mergeCell ref="D19:P19"/>
    <mergeCell ref="Q19:R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30:C30"/>
    <mergeCell ref="D33:P33"/>
    <mergeCell ref="Q33:R33"/>
    <mergeCell ref="A34:C34"/>
    <mergeCell ref="A35:C35"/>
    <mergeCell ref="A36:C36"/>
    <mergeCell ref="A37:C37"/>
    <mergeCell ref="A38:C38"/>
    <mergeCell ref="A40:C40"/>
    <mergeCell ref="D43:P43"/>
    <mergeCell ref="Q43:R43"/>
    <mergeCell ref="A44:C44"/>
    <mergeCell ref="A45:C45"/>
    <mergeCell ref="A46:C46"/>
    <mergeCell ref="A47:C47"/>
    <mergeCell ref="A48:C48"/>
    <mergeCell ref="A50:C50"/>
    <mergeCell ref="D53:P53"/>
    <mergeCell ref="Q53:R53"/>
    <mergeCell ref="A54:C54"/>
    <mergeCell ref="A55:C55"/>
    <mergeCell ref="A56:C56"/>
    <mergeCell ref="A57:C57"/>
    <mergeCell ref="A58:C58"/>
    <mergeCell ref="A60:C60"/>
    <mergeCell ref="D63:P63"/>
    <mergeCell ref="Q63:R63"/>
    <mergeCell ref="B64:C64"/>
    <mergeCell ref="B65:C65"/>
    <mergeCell ref="B66:C66"/>
    <mergeCell ref="B67:C67"/>
    <mergeCell ref="B68:C68"/>
    <mergeCell ref="B70:C70"/>
    <mergeCell ref="B71:C71"/>
    <mergeCell ref="A73:R73"/>
    <mergeCell ref="D75:P75"/>
    <mergeCell ref="Q75:R75"/>
    <mergeCell ref="B76:C76"/>
    <mergeCell ref="B85:C85"/>
    <mergeCell ref="B86:C86"/>
    <mergeCell ref="B87:C87"/>
    <mergeCell ref="B88:C88"/>
    <mergeCell ref="B77:C77"/>
    <mergeCell ref="B78:C78"/>
    <mergeCell ref="A81:R81"/>
    <mergeCell ref="D83:P83"/>
    <mergeCell ref="B84:C8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2"/>
  <sheetViews>
    <sheetView showGridLines="0" topLeftCell="A28" zoomScaleNormal="100" workbookViewId="0">
      <selection activeCell="P14" sqref="P14"/>
    </sheetView>
  </sheetViews>
  <sheetFormatPr baseColWidth="10" defaultColWidth="10.7109375" defaultRowHeight="15" x14ac:dyDescent="0.25"/>
  <cols>
    <col min="1" max="2" width="6.7109375" customWidth="1"/>
    <col min="3" max="3" width="16.7109375" customWidth="1"/>
    <col min="4" max="4" width="9.85546875" customWidth="1"/>
    <col min="5" max="8" width="9.140625" customWidth="1"/>
    <col min="9" max="12" width="10.28515625" customWidth="1"/>
    <col min="13" max="14" width="9.5703125" customWidth="1"/>
  </cols>
  <sheetData>
    <row r="1" spans="1:14" ht="21" x14ac:dyDescent="0.35">
      <c r="A1" s="222" t="s">
        <v>132</v>
      </c>
      <c r="B1" s="222"/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22"/>
    </row>
    <row r="3" spans="1:14" x14ac:dyDescent="0.25">
      <c r="A3" s="256" t="s">
        <v>8</v>
      </c>
      <c r="B3" s="256"/>
      <c r="C3" s="256"/>
      <c r="D3" s="256"/>
      <c r="E3" s="256"/>
      <c r="F3" s="256"/>
      <c r="G3" s="256"/>
      <c r="H3" s="256"/>
      <c r="I3" s="256"/>
      <c r="J3" s="256"/>
      <c r="K3" s="256"/>
      <c r="L3" s="256"/>
      <c r="M3" s="256"/>
      <c r="N3" s="256"/>
    </row>
    <row r="5" spans="1:14" x14ac:dyDescent="0.25">
      <c r="A5" s="254" t="s">
        <v>9</v>
      </c>
      <c r="B5" s="254"/>
      <c r="C5" s="265" t="str">
        <f>IF(ESTIMACION!C5="","N/A",ESTIMACION!C5)</f>
        <v>DESARROLLO DE UN PORTAL WEB</v>
      </c>
      <c r="D5" s="265"/>
      <c r="E5" s="265"/>
      <c r="F5" s="265"/>
      <c r="G5" s="265"/>
      <c r="H5" s="99"/>
      <c r="I5" s="254" t="s">
        <v>10</v>
      </c>
      <c r="J5" s="254"/>
      <c r="K5" s="265" t="str">
        <f>IF(ESTIMACION!L5="","N/A",ESTIMACION!L5)</f>
        <v>DES-01-2022</v>
      </c>
      <c r="L5" s="265"/>
      <c r="M5" s="265"/>
      <c r="N5" s="265"/>
    </row>
    <row r="6" spans="1:14" x14ac:dyDescent="0.25">
      <c r="A6" t="s">
        <v>11</v>
      </c>
      <c r="C6" s="265" t="str">
        <f>IF(ESTIMACION!C6="","N/A",ESTIMACION!C6)</f>
        <v>MEDIOLADO</v>
      </c>
      <c r="D6" s="265"/>
      <c r="E6" s="265"/>
      <c r="F6" s="265"/>
      <c r="G6" s="265"/>
      <c r="H6" s="100"/>
      <c r="I6" s="254" t="s">
        <v>12</v>
      </c>
      <c r="J6" s="254"/>
      <c r="K6" s="265" t="str">
        <f>IF(ESTIMACION!L6="","N/A",ESTIMACION!L6)</f>
        <v>PABLO Y CAMILO</v>
      </c>
      <c r="L6" s="265"/>
      <c r="M6" s="265"/>
      <c r="N6" s="265"/>
    </row>
    <row r="7" spans="1:14" x14ac:dyDescent="0.25">
      <c r="C7" s="15"/>
    </row>
    <row r="8" spans="1:14" x14ac:dyDescent="0.25">
      <c r="A8" s="271" t="s">
        <v>13</v>
      </c>
      <c r="B8" s="271"/>
      <c r="C8" s="271"/>
      <c r="D8" s="273">
        <f>IF(ESTIMACION!C8="","N/A",ESTIMACION!C8)</f>
        <v>44562</v>
      </c>
      <c r="E8" s="273"/>
      <c r="F8" s="273"/>
      <c r="G8" s="16"/>
      <c r="H8" s="16"/>
      <c r="I8" s="254" t="s">
        <v>14</v>
      </c>
      <c r="J8" s="254"/>
      <c r="K8" s="273">
        <f>IF(ESTIMACION!L8="","N/A",ESTIMACION!L8)</f>
        <v>44925</v>
      </c>
      <c r="L8" s="273"/>
      <c r="M8" s="273"/>
    </row>
    <row r="9" spans="1:14" x14ac:dyDescent="0.25">
      <c r="C9" s="15"/>
      <c r="E9" s="17"/>
    </row>
    <row r="10" spans="1:14" x14ac:dyDescent="0.25">
      <c r="A10" s="271" t="s">
        <v>90</v>
      </c>
      <c r="B10" s="271"/>
      <c r="C10" s="271"/>
      <c r="D10" s="273">
        <f>IF('PLAN FINANCIERO'!D10:F10="","N/A",'PLAN FINANCIERO'!D10:F10)</f>
        <v>44699</v>
      </c>
      <c r="E10" s="273"/>
      <c r="F10" s="273"/>
      <c r="I10" s="254" t="s">
        <v>15</v>
      </c>
      <c r="J10" s="254"/>
      <c r="K10" s="254"/>
      <c r="L10" s="270">
        <f>+ESTIMACION!M10</f>
        <v>97148.990151515143</v>
      </c>
      <c r="M10" s="270"/>
      <c r="N10" s="20" t="s">
        <v>16</v>
      </c>
    </row>
    <row r="11" spans="1:14" x14ac:dyDescent="0.25">
      <c r="I11" s="254" t="s">
        <v>91</v>
      </c>
      <c r="J11" s="254"/>
      <c r="K11" s="254"/>
      <c r="L11" s="270">
        <f>+ESTIMACION!M11</f>
        <v>3212</v>
      </c>
      <c r="M11" s="270"/>
      <c r="N11" s="20" t="s">
        <v>18</v>
      </c>
    </row>
    <row r="12" spans="1:14" x14ac:dyDescent="0.25">
      <c r="I12" s="254" t="s">
        <v>19</v>
      </c>
      <c r="J12" s="254"/>
      <c r="K12" s="254"/>
      <c r="L12" s="270">
        <f>+ESTIMACION!M12</f>
        <v>27.137575374643745</v>
      </c>
      <c r="M12" s="270"/>
      <c r="N12" s="20" t="s">
        <v>20</v>
      </c>
    </row>
    <row r="14" spans="1:14" x14ac:dyDescent="0.25">
      <c r="I14" s="254" t="s">
        <v>92</v>
      </c>
      <c r="J14" s="254"/>
      <c r="K14" s="254"/>
      <c r="L14" s="254"/>
      <c r="M14" s="274">
        <f>+'PLAN FINANCIERO'!M14:N14</f>
        <v>0.02</v>
      </c>
      <c r="N14" s="274"/>
    </row>
    <row r="15" spans="1:14" x14ac:dyDescent="0.25">
      <c r="I15" s="254" t="s">
        <v>93</v>
      </c>
      <c r="J15" s="254"/>
      <c r="K15" s="254"/>
      <c r="L15" s="254"/>
      <c r="M15" s="274">
        <f>+'PLAN FINANCIERO'!M15:N15</f>
        <v>0.08</v>
      </c>
      <c r="N15" s="274"/>
    </row>
    <row r="16" spans="1:14" x14ac:dyDescent="0.25">
      <c r="I16" s="254" t="s">
        <v>133</v>
      </c>
      <c r="J16" s="254"/>
      <c r="K16" s="254"/>
      <c r="L16" s="254"/>
      <c r="M16" s="272"/>
      <c r="N16" s="272"/>
    </row>
    <row r="18" spans="1:14" x14ac:dyDescent="0.25">
      <c r="A18" s="226" t="s">
        <v>134</v>
      </c>
      <c r="B18" s="226"/>
      <c r="C18" s="226"/>
      <c r="D18" s="226"/>
      <c r="E18" s="226"/>
      <c r="F18" s="226"/>
      <c r="G18" s="226"/>
      <c r="H18" s="226"/>
      <c r="I18" s="226"/>
      <c r="J18" s="226"/>
      <c r="K18" s="226"/>
      <c r="L18" s="226"/>
      <c r="M18" s="226"/>
      <c r="N18" s="226"/>
    </row>
    <row r="42" spans="1:14" x14ac:dyDescent="0.25">
      <c r="A42" s="226" t="s">
        <v>135</v>
      </c>
      <c r="B42" s="226"/>
      <c r="C42" s="226"/>
      <c r="D42" s="226"/>
      <c r="E42" s="226"/>
      <c r="F42" s="226"/>
      <c r="G42" s="226"/>
      <c r="H42" s="226"/>
      <c r="I42" s="226"/>
      <c r="J42" s="226"/>
      <c r="K42" s="226"/>
      <c r="L42" s="226"/>
      <c r="M42" s="226"/>
      <c r="N42" s="226"/>
    </row>
  </sheetData>
  <mergeCells count="29">
    <mergeCell ref="A1:N1"/>
    <mergeCell ref="A3:N3"/>
    <mergeCell ref="A5:B5"/>
    <mergeCell ref="C5:G5"/>
    <mergeCell ref="I5:J5"/>
    <mergeCell ref="K5:N5"/>
    <mergeCell ref="C6:G6"/>
    <mergeCell ref="I6:J6"/>
    <mergeCell ref="K6:N6"/>
    <mergeCell ref="A8:C8"/>
    <mergeCell ref="D8:F8"/>
    <mergeCell ref="I8:J8"/>
    <mergeCell ref="K8:M8"/>
    <mergeCell ref="A10:C10"/>
    <mergeCell ref="D10:F10"/>
    <mergeCell ref="I10:K10"/>
    <mergeCell ref="L10:M10"/>
    <mergeCell ref="I11:K11"/>
    <mergeCell ref="L11:M11"/>
    <mergeCell ref="I16:L16"/>
    <mergeCell ref="M16:N16"/>
    <mergeCell ref="A18:N18"/>
    <mergeCell ref="A42:N42"/>
    <mergeCell ref="I12:K12"/>
    <mergeCell ref="L12:M12"/>
    <mergeCell ref="I14:L14"/>
    <mergeCell ref="M14:N14"/>
    <mergeCell ref="I15:L15"/>
    <mergeCell ref="M15:N15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00"/>
  <sheetViews>
    <sheetView showGridLines="0" tabSelected="1" zoomScaleNormal="100" workbookViewId="0">
      <selection activeCell="H73" sqref="H73:I73"/>
    </sheetView>
  </sheetViews>
  <sheetFormatPr baseColWidth="10" defaultColWidth="10.7109375" defaultRowHeight="15" x14ac:dyDescent="0.25"/>
  <cols>
    <col min="1" max="2" width="6.7109375" customWidth="1"/>
    <col min="3" max="3" width="12" customWidth="1"/>
    <col min="5" max="5" width="12" customWidth="1"/>
    <col min="7" max="7" width="12" customWidth="1"/>
    <col min="9" max="13" width="12" customWidth="1"/>
    <col min="15" max="15" width="12" customWidth="1"/>
  </cols>
  <sheetData>
    <row r="1" spans="1:13" ht="21" x14ac:dyDescent="0.35">
      <c r="A1" s="222" t="s">
        <v>136</v>
      </c>
      <c r="B1" s="222"/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</row>
    <row r="3" spans="1:13" x14ac:dyDescent="0.25">
      <c r="A3" s="256" t="s">
        <v>8</v>
      </c>
      <c r="B3" s="256"/>
      <c r="C3" s="256"/>
      <c r="D3" s="256"/>
      <c r="E3" s="256"/>
      <c r="F3" s="256"/>
      <c r="G3" s="256"/>
      <c r="H3" s="256"/>
      <c r="I3" s="256"/>
      <c r="J3" s="256"/>
      <c r="K3" s="256"/>
      <c r="L3" s="256"/>
      <c r="M3" s="256"/>
    </row>
    <row r="5" spans="1:13" x14ac:dyDescent="0.25">
      <c r="A5" s="254" t="s">
        <v>9</v>
      </c>
      <c r="B5" s="254"/>
      <c r="C5" s="314" t="str">
        <f>IF(ESTIMACION!C5="","N/A",ESTIMACION!C5)</f>
        <v>DESARROLLO DE UN PORTAL WEB</v>
      </c>
      <c r="D5" s="314"/>
      <c r="E5" s="314"/>
      <c r="F5" s="314"/>
      <c r="G5" s="314"/>
      <c r="I5" s="254" t="s">
        <v>10</v>
      </c>
      <c r="J5" s="254"/>
      <c r="K5" s="265" t="str">
        <f>IF(ESTIMACION!L5="","N/A",ESTIMACION!L5)</f>
        <v>DES-01-2022</v>
      </c>
      <c r="L5" s="265"/>
      <c r="M5" s="265"/>
    </row>
    <row r="6" spans="1:13" x14ac:dyDescent="0.25">
      <c r="A6" t="s">
        <v>11</v>
      </c>
      <c r="C6" s="314" t="str">
        <f>IF(ESTIMACION!C6="","N/A",ESTIMACION!C6)</f>
        <v>MEDIOLADO</v>
      </c>
      <c r="D6" s="314"/>
      <c r="E6" s="314"/>
      <c r="F6" s="314"/>
      <c r="G6" s="314"/>
      <c r="I6" s="254" t="s">
        <v>12</v>
      </c>
      <c r="J6" s="254"/>
      <c r="K6" s="265" t="str">
        <f>IF(ESTIMACION!L6="","N/A",ESTIMACION!L6)</f>
        <v>PABLO Y CAMILO</v>
      </c>
      <c r="L6" s="265"/>
      <c r="M6" s="265"/>
    </row>
    <row r="7" spans="1:13" x14ac:dyDescent="0.25">
      <c r="C7" s="15"/>
    </row>
    <row r="8" spans="1:13" x14ac:dyDescent="0.25">
      <c r="C8" s="15"/>
      <c r="E8" s="17"/>
      <c r="K8" s="168" t="s">
        <v>137</v>
      </c>
      <c r="L8" s="168" t="s">
        <v>138</v>
      </c>
      <c r="M8" s="169"/>
    </row>
    <row r="9" spans="1:13" x14ac:dyDescent="0.25">
      <c r="A9" s="271" t="s">
        <v>90</v>
      </c>
      <c r="B9" s="271"/>
      <c r="C9" s="271"/>
      <c r="D9" s="255">
        <v>44699</v>
      </c>
      <c r="E9" s="255"/>
      <c r="F9" s="170"/>
      <c r="I9" s="254" t="s">
        <v>15</v>
      </c>
      <c r="J9" s="254"/>
      <c r="K9" s="19">
        <f>+ESTIMACION!M10</f>
        <v>97148.990151515143</v>
      </c>
      <c r="L9" s="19">
        <f>H82</f>
        <v>97148.990151515143</v>
      </c>
      <c r="M9" s="171" t="s">
        <v>16</v>
      </c>
    </row>
    <row r="10" spans="1:13" x14ac:dyDescent="0.25">
      <c r="A10" s="172"/>
      <c r="B10" s="172"/>
      <c r="C10" s="173"/>
      <c r="D10" s="170"/>
      <c r="E10" s="170"/>
      <c r="F10" s="170"/>
      <c r="I10" s="254" t="s">
        <v>139</v>
      </c>
      <c r="J10" s="254"/>
      <c r="K10" s="19">
        <f>+ESTIMACION!N81</f>
        <v>76412.492424242417</v>
      </c>
      <c r="L10" s="19">
        <f>SUM(H88:H92)</f>
        <v>81360.694128787858</v>
      </c>
      <c r="M10" s="171" t="s">
        <v>16</v>
      </c>
    </row>
    <row r="11" spans="1:13" x14ac:dyDescent="0.25">
      <c r="I11" s="254" t="s">
        <v>91</v>
      </c>
      <c r="J11" s="254"/>
      <c r="K11" s="174">
        <f>+ESTIMACION!M11</f>
        <v>3212</v>
      </c>
      <c r="L11" s="175">
        <f>H30</f>
        <v>3312</v>
      </c>
      <c r="M11" s="171" t="s">
        <v>18</v>
      </c>
    </row>
    <row r="12" spans="1:13" x14ac:dyDescent="0.25">
      <c r="I12" s="254" t="s">
        <v>19</v>
      </c>
      <c r="J12" s="254"/>
      <c r="K12" s="176">
        <f>+ESTIMACION!M12</f>
        <v>27.137575374643745</v>
      </c>
      <c r="L12" s="22">
        <f>100*(L9-L10)/L10</f>
        <v>19.405311362923722</v>
      </c>
      <c r="M12" s="171" t="s">
        <v>20</v>
      </c>
    </row>
    <row r="13" spans="1:13" x14ac:dyDescent="0.25">
      <c r="I13" s="254" t="s">
        <v>13</v>
      </c>
      <c r="J13" s="254"/>
      <c r="K13" s="177">
        <f>IF(ESTIMACION!C8="","N/A",ESTIMACION!C8)</f>
        <v>44562</v>
      </c>
      <c r="L13" s="178">
        <v>44562</v>
      </c>
      <c r="M13" s="171" t="s">
        <v>140</v>
      </c>
    </row>
    <row r="14" spans="1:13" x14ac:dyDescent="0.25">
      <c r="I14" s="254" t="s">
        <v>14</v>
      </c>
      <c r="J14" s="254"/>
      <c r="K14" s="177">
        <f>IF(ESTIMACION!L8="","N/A",ESTIMACION!L8)</f>
        <v>44925</v>
      </c>
      <c r="L14" s="178">
        <v>44925</v>
      </c>
      <c r="M14" s="171" t="s">
        <v>140</v>
      </c>
    </row>
    <row r="16" spans="1:13" x14ac:dyDescent="0.25">
      <c r="A16" s="226" t="s">
        <v>21</v>
      </c>
      <c r="B16" s="226"/>
      <c r="C16" s="226"/>
      <c r="D16" s="226"/>
      <c r="E16" s="226"/>
      <c r="F16" s="226"/>
      <c r="G16" s="226"/>
      <c r="H16" s="226"/>
      <c r="I16" s="226"/>
      <c r="J16" s="226"/>
      <c r="K16" s="226"/>
      <c r="L16" s="226"/>
      <c r="M16" s="226"/>
    </row>
    <row r="17" spans="2:13" x14ac:dyDescent="0.25">
      <c r="C17" s="15"/>
      <c r="E17" s="15"/>
    </row>
    <row r="18" spans="2:13" x14ac:dyDescent="0.25">
      <c r="B18" s="23" t="s">
        <v>22</v>
      </c>
      <c r="C18" s="227" t="s">
        <v>23</v>
      </c>
      <c r="D18" s="227"/>
      <c r="E18" s="227"/>
      <c r="F18" s="227"/>
      <c r="G18" s="227"/>
      <c r="H18" s="227"/>
      <c r="I18" s="227"/>
      <c r="J18" s="227"/>
      <c r="K18" s="227"/>
      <c r="L18" s="227"/>
      <c r="M18" s="227"/>
    </row>
    <row r="19" spans="2:13" x14ac:dyDescent="0.25">
      <c r="F19" s="291" t="s">
        <v>96</v>
      </c>
      <c r="G19" s="291"/>
      <c r="H19" s="313" t="s">
        <v>141</v>
      </c>
      <c r="I19" s="313"/>
      <c r="J19" s="313"/>
      <c r="K19" s="293" t="s">
        <v>142</v>
      </c>
      <c r="L19" s="293"/>
      <c r="M19" s="293"/>
    </row>
    <row r="20" spans="2:13" x14ac:dyDescent="0.25">
      <c r="C20" s="294" t="s">
        <v>23</v>
      </c>
      <c r="D20" s="294"/>
      <c r="E20" s="294"/>
      <c r="F20" s="179" t="s">
        <v>26</v>
      </c>
      <c r="G20" s="180" t="s">
        <v>143</v>
      </c>
      <c r="H20" s="181" t="s">
        <v>26</v>
      </c>
      <c r="I20" s="28" t="s">
        <v>143</v>
      </c>
      <c r="J20" s="182" t="s">
        <v>20</v>
      </c>
      <c r="K20" s="181" t="s">
        <v>26</v>
      </c>
      <c r="L20" s="28" t="s">
        <v>143</v>
      </c>
      <c r="M20" s="182" t="s">
        <v>20</v>
      </c>
    </row>
    <row r="21" spans="2:13" x14ac:dyDescent="0.25">
      <c r="C21" s="297" t="str">
        <f>+ESTIMACION!C22</f>
        <v>Analista</v>
      </c>
      <c r="D21" s="297"/>
      <c r="E21" s="297"/>
      <c r="F21" s="183">
        <f>+ESTIMACION!G22</f>
        <v>710</v>
      </c>
      <c r="G21" s="184">
        <f>+ESTIMACION!N22</f>
        <v>16519.602272727276</v>
      </c>
      <c r="H21" s="185">
        <v>730</v>
      </c>
      <c r="I21" s="89">
        <f>+H21*ESTIMACION!M22</f>
        <v>16984.943181818184</v>
      </c>
      <c r="J21" s="186">
        <f t="shared" ref="J21:J28" si="0">+IF(F21=0,"N/A",H21/F21)</f>
        <v>1.028169014084507</v>
      </c>
      <c r="K21" s="187">
        <f t="shared" ref="K21:L28" si="1">+H21-F21</f>
        <v>20</v>
      </c>
      <c r="L21" s="188">
        <f t="shared" si="1"/>
        <v>465.3409090909081</v>
      </c>
      <c r="M21" s="189">
        <f t="shared" ref="M21:M28" si="2">IF(F21=0,"N/A",J21-1)</f>
        <v>2.8169014084507005E-2</v>
      </c>
    </row>
    <row r="22" spans="2:13" x14ac:dyDescent="0.25">
      <c r="C22" s="287" t="str">
        <f>+ESTIMACION!C23</f>
        <v>Diseñador Gráfico Aplicativos</v>
      </c>
      <c r="D22" s="287"/>
      <c r="E22" s="287"/>
      <c r="F22" s="183">
        <f>+ESTIMACION!G23</f>
        <v>100</v>
      </c>
      <c r="G22" s="190">
        <f>+ESTIMACION!N23</f>
        <v>1551.1363636363637</v>
      </c>
      <c r="H22" s="185">
        <v>20</v>
      </c>
      <c r="I22" s="89">
        <f>+H22*ESTIMACION!M23</f>
        <v>310.22727272727275</v>
      </c>
      <c r="J22" s="186">
        <f t="shared" si="0"/>
        <v>0.2</v>
      </c>
      <c r="K22" s="191">
        <f t="shared" si="1"/>
        <v>-80</v>
      </c>
      <c r="L22" s="188">
        <f t="shared" si="1"/>
        <v>-1240.909090909091</v>
      </c>
      <c r="M22" s="186">
        <f t="shared" si="2"/>
        <v>-0.8</v>
      </c>
    </row>
    <row r="23" spans="2:13" x14ac:dyDescent="0.25">
      <c r="C23" s="287" t="str">
        <f>+ESTIMACION!C24</f>
        <v>Jefe de Proyecto</v>
      </c>
      <c r="D23" s="287"/>
      <c r="E23" s="287"/>
      <c r="F23" s="183">
        <f>+ESTIMACION!G24</f>
        <v>250</v>
      </c>
      <c r="G23" s="190">
        <f>+ESTIMACION!N24</f>
        <v>7755.681818181818</v>
      </c>
      <c r="H23" s="185">
        <v>260</v>
      </c>
      <c r="I23" s="89">
        <f>+H23*ESTIMACION!M24</f>
        <v>8065.909090909091</v>
      </c>
      <c r="J23" s="186">
        <f t="shared" si="0"/>
        <v>1.04</v>
      </c>
      <c r="K23" s="191">
        <f t="shared" si="1"/>
        <v>10</v>
      </c>
      <c r="L23" s="188">
        <f t="shared" si="1"/>
        <v>310.22727272727298</v>
      </c>
      <c r="M23" s="186">
        <f t="shared" si="2"/>
        <v>4.0000000000000036E-2</v>
      </c>
    </row>
    <row r="24" spans="2:13" x14ac:dyDescent="0.25">
      <c r="C24" s="287" t="str">
        <f>+ESTIMACION!C25</f>
        <v>Programador</v>
      </c>
      <c r="D24" s="287"/>
      <c r="E24" s="287"/>
      <c r="F24" s="183">
        <f>+ESTIMACION!G25</f>
        <v>1720</v>
      </c>
      <c r="G24" s="190">
        <f>+ESTIMACION!N25</f>
        <v>30014.488636363636</v>
      </c>
      <c r="H24" s="185">
        <v>1870</v>
      </c>
      <c r="I24" s="89">
        <f>+H24*ESTIMACION!M25</f>
        <v>32632.03125</v>
      </c>
      <c r="J24" s="186">
        <f t="shared" si="0"/>
        <v>1.0872093023255813</v>
      </c>
      <c r="K24" s="191">
        <f t="shared" si="1"/>
        <v>150</v>
      </c>
      <c r="L24" s="188">
        <f t="shared" si="1"/>
        <v>2617.542613636364</v>
      </c>
      <c r="M24" s="186">
        <f t="shared" si="2"/>
        <v>8.7209302325581328E-2</v>
      </c>
    </row>
    <row r="25" spans="2:13" x14ac:dyDescent="0.25">
      <c r="C25" s="287" t="str">
        <f>+ESTIMACION!C26</f>
        <v>Supervisor calidad aplicativos</v>
      </c>
      <c r="D25" s="287"/>
      <c r="E25" s="287"/>
      <c r="F25" s="183">
        <f>+ESTIMACION!G26</f>
        <v>232</v>
      </c>
      <c r="G25" s="190">
        <f>+ESTIMACION!N26</f>
        <v>6297.613636363636</v>
      </c>
      <c r="H25" s="185">
        <v>232</v>
      </c>
      <c r="I25" s="89">
        <f>+H25*ESTIMACION!M26</f>
        <v>6297.613636363636</v>
      </c>
      <c r="J25" s="186">
        <f t="shared" si="0"/>
        <v>1</v>
      </c>
      <c r="K25" s="191">
        <f t="shared" si="1"/>
        <v>0</v>
      </c>
      <c r="L25" s="188">
        <f t="shared" si="1"/>
        <v>0</v>
      </c>
      <c r="M25" s="186">
        <f t="shared" si="2"/>
        <v>0</v>
      </c>
    </row>
    <row r="26" spans="2:13" x14ac:dyDescent="0.25">
      <c r="C26" s="287" t="str">
        <f>+ESTIMACION!C27</f>
        <v>Técnico de bases de datos</v>
      </c>
      <c r="D26" s="287"/>
      <c r="E26" s="287"/>
      <c r="F26" s="183">
        <f>+ESTIMACION!G27</f>
        <v>100</v>
      </c>
      <c r="G26" s="190">
        <f>+ESTIMACION!N27</f>
        <v>2481.818181818182</v>
      </c>
      <c r="H26" s="185">
        <v>100</v>
      </c>
      <c r="I26" s="89">
        <f>+H26*ESTIMACION!M27</f>
        <v>2481.818181818182</v>
      </c>
      <c r="J26" s="186">
        <f t="shared" si="0"/>
        <v>1</v>
      </c>
      <c r="K26" s="191">
        <f t="shared" si="1"/>
        <v>0</v>
      </c>
      <c r="L26" s="188">
        <f t="shared" si="1"/>
        <v>0</v>
      </c>
      <c r="M26" s="186">
        <f t="shared" si="2"/>
        <v>0</v>
      </c>
    </row>
    <row r="27" spans="2:13" x14ac:dyDescent="0.25">
      <c r="C27" s="287" t="str">
        <f>+ESTIMACION!C28</f>
        <v>Técnico de sistemas</v>
      </c>
      <c r="D27" s="287"/>
      <c r="E27" s="287"/>
      <c r="F27" s="183">
        <f>+ESTIMACION!G28</f>
        <v>100</v>
      </c>
      <c r="G27" s="190">
        <f>+ESTIMACION!N28</f>
        <v>2481.818181818182</v>
      </c>
      <c r="H27" s="185">
        <v>100</v>
      </c>
      <c r="I27" s="89">
        <f>+H27*ESTIMACION!M28</f>
        <v>2481.818181818182</v>
      </c>
      <c r="J27" s="186">
        <f t="shared" si="0"/>
        <v>1</v>
      </c>
      <c r="K27" s="191">
        <f t="shared" si="1"/>
        <v>0</v>
      </c>
      <c r="L27" s="188">
        <f t="shared" si="1"/>
        <v>0</v>
      </c>
      <c r="M27" s="186">
        <f t="shared" si="2"/>
        <v>0</v>
      </c>
    </row>
    <row r="28" spans="2:13" x14ac:dyDescent="0.25">
      <c r="C28" s="308" t="str">
        <f>+ESTIMACION!C29</f>
        <v>[Insertar más líneas aquí]</v>
      </c>
      <c r="D28" s="308"/>
      <c r="E28" s="308"/>
      <c r="F28" s="192">
        <f>+ESTIMACION!G29</f>
        <v>0</v>
      </c>
      <c r="G28" s="193">
        <f>+ESTIMACION!N29</f>
        <v>0</v>
      </c>
      <c r="H28" s="194"/>
      <c r="I28" s="195">
        <f>+H28*ESTIMACION!J29</f>
        <v>0</v>
      </c>
      <c r="J28" s="196" t="str">
        <f t="shared" si="0"/>
        <v>N/A</v>
      </c>
      <c r="K28" s="197">
        <f t="shared" si="1"/>
        <v>0</v>
      </c>
      <c r="L28" s="198">
        <f t="shared" si="1"/>
        <v>0</v>
      </c>
      <c r="M28" s="196" t="str">
        <f t="shared" si="2"/>
        <v>N/A</v>
      </c>
    </row>
    <row r="30" spans="2:13" x14ac:dyDescent="0.25">
      <c r="C30" s="305" t="s">
        <v>144</v>
      </c>
      <c r="D30" s="305"/>
      <c r="E30" s="305"/>
      <c r="F30" s="199">
        <f>SUM(F21:F28)</f>
        <v>3212</v>
      </c>
      <c r="G30" s="200">
        <f>SUM(G21:G28)</f>
        <v>67102.159090909088</v>
      </c>
      <c r="H30" s="201">
        <f>SUM(H21:H28)</f>
        <v>3312</v>
      </c>
      <c r="I30" s="202">
        <f>SUM(I21:I28)</f>
        <v>69254.36079545453</v>
      </c>
      <c r="J30" s="203">
        <f>+IF(F30=0,"N/A",H30/F30)</f>
        <v>1.0311332503113324</v>
      </c>
      <c r="K30" s="204">
        <f>SUM(K21:K28)</f>
        <v>100</v>
      </c>
      <c r="L30" s="205">
        <f>SUM(L21:L28)</f>
        <v>2152.201704545454</v>
      </c>
      <c r="M30" s="206">
        <f>IF(F30=0,"N/A",J30-1)</f>
        <v>3.1133250311332406E-2</v>
      </c>
    </row>
    <row r="32" spans="2:13" x14ac:dyDescent="0.25">
      <c r="B32" s="23" t="s">
        <v>42</v>
      </c>
      <c r="C32" s="227" t="s">
        <v>43</v>
      </c>
      <c r="D32" s="227"/>
      <c r="E32" s="227"/>
      <c r="F32" s="227"/>
      <c r="G32" s="227"/>
      <c r="H32" s="227"/>
      <c r="I32" s="227"/>
      <c r="J32" s="227"/>
      <c r="K32" s="227"/>
      <c r="L32" s="227"/>
      <c r="M32" s="227"/>
    </row>
    <row r="33" spans="2:13" x14ac:dyDescent="0.25">
      <c r="B33" s="23"/>
      <c r="F33" s="291" t="s">
        <v>96</v>
      </c>
      <c r="G33" s="291"/>
      <c r="H33" s="292" t="s">
        <v>141</v>
      </c>
      <c r="I33" s="292"/>
      <c r="J33" s="292"/>
      <c r="K33" s="293" t="s">
        <v>142</v>
      </c>
      <c r="L33" s="293"/>
      <c r="M33" s="293"/>
    </row>
    <row r="34" spans="2:13" x14ac:dyDescent="0.25">
      <c r="B34" s="23"/>
      <c r="C34" s="294" t="s">
        <v>45</v>
      </c>
      <c r="D34" s="294"/>
      <c r="E34" s="294"/>
      <c r="F34" s="295" t="s">
        <v>143</v>
      </c>
      <c r="G34" s="295"/>
      <c r="H34" s="296" t="s">
        <v>143</v>
      </c>
      <c r="I34" s="296"/>
      <c r="J34" s="182" t="s">
        <v>20</v>
      </c>
      <c r="K34" s="296" t="s">
        <v>143</v>
      </c>
      <c r="L34" s="296"/>
      <c r="M34" s="182" t="s">
        <v>20</v>
      </c>
    </row>
    <row r="35" spans="2:13" x14ac:dyDescent="0.25">
      <c r="B35" s="23"/>
      <c r="C35" s="297" t="str">
        <f>+ESTIMACION!C37</f>
        <v>3D Designs S.L</v>
      </c>
      <c r="D35" s="297"/>
      <c r="E35" s="297"/>
      <c r="F35" s="298">
        <f>+ESTIMACION!N37</f>
        <v>0</v>
      </c>
      <c r="G35" s="298"/>
      <c r="H35" s="311">
        <v>2150</v>
      </c>
      <c r="I35" s="311"/>
      <c r="J35" s="186" t="str">
        <f>+IF(F35=0,"N/A",H35/F35)</f>
        <v>N/A</v>
      </c>
      <c r="K35" s="312">
        <f>+H35-F35</f>
        <v>2150</v>
      </c>
      <c r="L35" s="312"/>
      <c r="M35" s="189" t="str">
        <f>IF(F35=0,"N/A",J35-1)</f>
        <v>N/A</v>
      </c>
    </row>
    <row r="36" spans="2:13" x14ac:dyDescent="0.25">
      <c r="B36" s="23"/>
      <c r="C36" s="287" t="str">
        <f>+ESTIMACION!C38</f>
        <v>Telefónica</v>
      </c>
      <c r="D36" s="287"/>
      <c r="E36" s="287"/>
      <c r="F36" s="288">
        <f>+ESTIMACION!N38</f>
        <v>0</v>
      </c>
      <c r="G36" s="288"/>
      <c r="H36" s="306">
        <f>49 + 29</f>
        <v>78</v>
      </c>
      <c r="I36" s="306"/>
      <c r="J36" s="186" t="str">
        <f>+IF(F36=0,"N/A",H36/F36)</f>
        <v>N/A</v>
      </c>
      <c r="K36" s="307">
        <f>+H36-F36</f>
        <v>78</v>
      </c>
      <c r="L36" s="307"/>
      <c r="M36" s="186" t="str">
        <f>IF(F36=0,"N/A",J36-1)</f>
        <v>N/A</v>
      </c>
    </row>
    <row r="37" spans="2:13" x14ac:dyDescent="0.25">
      <c r="B37" s="23"/>
      <c r="C37" s="287">
        <f>+ESTIMACION!C39</f>
        <v>0</v>
      </c>
      <c r="D37" s="287"/>
      <c r="E37" s="287"/>
      <c r="F37" s="288">
        <f>+ESTIMACION!N39</f>
        <v>0</v>
      </c>
      <c r="G37" s="288"/>
      <c r="H37" s="306"/>
      <c r="I37" s="306"/>
      <c r="J37" s="186" t="str">
        <f>+IF(F37=0,"N/A",H37/F37)</f>
        <v>N/A</v>
      </c>
      <c r="K37" s="307">
        <f>+H37-F37</f>
        <v>0</v>
      </c>
      <c r="L37" s="307"/>
      <c r="M37" s="186" t="str">
        <f>IF(F37=0,"N/A",J37-1)</f>
        <v>N/A</v>
      </c>
    </row>
    <row r="38" spans="2:13" x14ac:dyDescent="0.25">
      <c r="B38" s="23"/>
      <c r="C38" s="308" t="str">
        <f>+ESTIMACION!C40</f>
        <v>[Insertar más líneas aquí]</v>
      </c>
      <c r="D38" s="308"/>
      <c r="E38" s="308"/>
      <c r="F38" s="276">
        <f>+ESTIMACION!N40</f>
        <v>0</v>
      </c>
      <c r="G38" s="276"/>
      <c r="H38" s="309"/>
      <c r="I38" s="309"/>
      <c r="J38" s="196" t="str">
        <f>+IF(F38=0,"N/A",H38/F38)</f>
        <v>N/A</v>
      </c>
      <c r="K38" s="310">
        <f>+H38-F38</f>
        <v>0</v>
      </c>
      <c r="L38" s="310"/>
      <c r="M38" s="196" t="str">
        <f>IF(F38=0,"N/A",J38-1)</f>
        <v>N/A</v>
      </c>
    </row>
    <row r="39" spans="2:13" x14ac:dyDescent="0.25">
      <c r="B39" s="23"/>
    </row>
    <row r="40" spans="2:13" x14ac:dyDescent="0.25">
      <c r="B40" s="23"/>
      <c r="C40" s="305" t="s">
        <v>144</v>
      </c>
      <c r="D40" s="305"/>
      <c r="E40" s="305"/>
      <c r="F40" s="284">
        <f>SUM(F35:F38)</f>
        <v>0</v>
      </c>
      <c r="G40" s="284"/>
      <c r="H40" s="285">
        <f>SUM(H35:H38)</f>
        <v>2228</v>
      </c>
      <c r="I40" s="285"/>
      <c r="J40" s="203" t="str">
        <f>+IF(F40=0,"N/A",H40/F40)</f>
        <v>N/A</v>
      </c>
      <c r="K40" s="286">
        <f>SUM(K35:K38)</f>
        <v>2228</v>
      </c>
      <c r="L40" s="286"/>
      <c r="M40" s="206" t="str">
        <f>IF(F40=0,"N/A",J40-1)</f>
        <v>N/A</v>
      </c>
    </row>
    <row r="43" spans="2:13" x14ac:dyDescent="0.25">
      <c r="B43" s="23" t="s">
        <v>52</v>
      </c>
      <c r="C43" s="227" t="s">
        <v>53</v>
      </c>
      <c r="D43" s="227"/>
      <c r="E43" s="227"/>
      <c r="F43" s="227"/>
      <c r="G43" s="227"/>
      <c r="H43" s="227"/>
      <c r="I43" s="227"/>
      <c r="J43" s="227"/>
      <c r="K43" s="227"/>
      <c r="L43" s="227"/>
      <c r="M43" s="227"/>
    </row>
    <row r="44" spans="2:13" x14ac:dyDescent="0.25">
      <c r="B44" s="23"/>
      <c r="F44" s="291" t="s">
        <v>96</v>
      </c>
      <c r="G44" s="291"/>
      <c r="H44" s="292" t="s">
        <v>141</v>
      </c>
      <c r="I44" s="292"/>
      <c r="J44" s="292"/>
      <c r="K44" s="293" t="s">
        <v>142</v>
      </c>
      <c r="L44" s="293"/>
      <c r="M44" s="293"/>
    </row>
    <row r="45" spans="2:13" x14ac:dyDescent="0.25">
      <c r="B45" s="23"/>
      <c r="C45" s="294" t="s">
        <v>55</v>
      </c>
      <c r="D45" s="294"/>
      <c r="E45" s="294"/>
      <c r="F45" s="295" t="s">
        <v>143</v>
      </c>
      <c r="G45" s="295"/>
      <c r="H45" s="296" t="s">
        <v>143</v>
      </c>
      <c r="I45" s="296"/>
      <c r="J45" s="182" t="s">
        <v>20</v>
      </c>
      <c r="K45" s="296" t="s">
        <v>143</v>
      </c>
      <c r="L45" s="296"/>
      <c r="M45" s="182" t="s">
        <v>20</v>
      </c>
    </row>
    <row r="46" spans="2:13" x14ac:dyDescent="0.25">
      <c r="B46" s="23"/>
      <c r="C46" s="297" t="str">
        <f>+ESTIMACION!C48</f>
        <v>HW-SERV</v>
      </c>
      <c r="D46" s="297"/>
      <c r="E46" s="297"/>
      <c r="F46" s="298">
        <f>+ESTIMACION!N48</f>
        <v>4896</v>
      </c>
      <c r="G46" s="298"/>
      <c r="H46" s="311">
        <v>4700</v>
      </c>
      <c r="I46" s="311"/>
      <c r="J46" s="186">
        <f>+IF(F46=0,"N/A",H46/F46)</f>
        <v>0.95996732026143794</v>
      </c>
      <c r="K46" s="300">
        <f>+H46-F46</f>
        <v>-196</v>
      </c>
      <c r="L46" s="300"/>
      <c r="M46" s="189">
        <f>IF(F46=0,"N/A",J46-1)</f>
        <v>-4.003267973856206E-2</v>
      </c>
    </row>
    <row r="47" spans="2:13" x14ac:dyDescent="0.25">
      <c r="B47" s="23"/>
      <c r="C47" s="287" t="str">
        <f>+ESTIMACION!C49</f>
        <v>SW-SERV</v>
      </c>
      <c r="D47" s="287"/>
      <c r="E47" s="287"/>
      <c r="F47" s="288">
        <f>+ESTIMACION!N49</f>
        <v>255</v>
      </c>
      <c r="G47" s="288"/>
      <c r="H47" s="306">
        <v>399</v>
      </c>
      <c r="I47" s="306"/>
      <c r="J47" s="186">
        <f>+IF(F47=0,"N/A",H47/F47)</f>
        <v>1.5647058823529412</v>
      </c>
      <c r="K47" s="290">
        <f>+H47-F47</f>
        <v>144</v>
      </c>
      <c r="L47" s="290"/>
      <c r="M47" s="186">
        <f>IF(F47=0,"N/A",J47-1)</f>
        <v>0.56470588235294117</v>
      </c>
    </row>
    <row r="48" spans="2:13" x14ac:dyDescent="0.25">
      <c r="B48" s="23"/>
      <c r="C48" s="287">
        <f>+ESTIMACION!C50</f>
        <v>0</v>
      </c>
      <c r="D48" s="287"/>
      <c r="E48" s="287"/>
      <c r="F48" s="288">
        <f>+ESTIMACION!N50</f>
        <v>0</v>
      </c>
      <c r="G48" s="288"/>
      <c r="H48" s="306"/>
      <c r="I48" s="306"/>
      <c r="J48" s="186" t="str">
        <f>+IF(F48=0,"N/A",H48/F48)</f>
        <v>N/A</v>
      </c>
      <c r="K48" s="290">
        <f>+H48-F48</f>
        <v>0</v>
      </c>
      <c r="L48" s="290"/>
      <c r="M48" s="186" t="str">
        <f>IF(F48=0,"N/A",J48-1)</f>
        <v>N/A</v>
      </c>
    </row>
    <row r="49" spans="2:13" x14ac:dyDescent="0.25">
      <c r="B49" s="23"/>
      <c r="C49" s="308" t="str">
        <f>+ESTIMACION!C51</f>
        <v>[Insertar más líneas aquí]</v>
      </c>
      <c r="D49" s="308"/>
      <c r="E49" s="308"/>
      <c r="F49" s="276">
        <f>+ESTIMACION!N51</f>
        <v>0</v>
      </c>
      <c r="G49" s="276"/>
      <c r="H49" s="309"/>
      <c r="I49" s="309"/>
      <c r="J49" s="196" t="str">
        <f>+IF(F49=0,"N/A",H49/F49)</f>
        <v>N/A</v>
      </c>
      <c r="K49" s="278">
        <f>+H49-F49</f>
        <v>0</v>
      </c>
      <c r="L49" s="278"/>
      <c r="M49" s="196" t="str">
        <f>IF(F49=0,"N/A",J49-1)</f>
        <v>N/A</v>
      </c>
    </row>
    <row r="50" spans="2:13" x14ac:dyDescent="0.25">
      <c r="B50" s="23"/>
    </row>
    <row r="51" spans="2:13" x14ac:dyDescent="0.25">
      <c r="B51" s="23"/>
      <c r="C51" s="305" t="s">
        <v>144</v>
      </c>
      <c r="D51" s="305"/>
      <c r="E51" s="305"/>
      <c r="F51" s="284">
        <f>SUM(F46:F49)</f>
        <v>5151</v>
      </c>
      <c r="G51" s="284"/>
      <c r="H51" s="285">
        <f>SUM(H46:H49)</f>
        <v>5099</v>
      </c>
      <c r="I51" s="285"/>
      <c r="J51" s="203">
        <f>+IF(F51=0,"N/A",H51/F51)</f>
        <v>0.98990487284022521</v>
      </c>
      <c r="K51" s="286">
        <f>SUM(K46:K49)</f>
        <v>-52</v>
      </c>
      <c r="L51" s="286"/>
      <c r="M51" s="206">
        <f>IF(F51=0,"N/A",J51-1)</f>
        <v>-1.0095127159774786E-2</v>
      </c>
    </row>
    <row r="53" spans="2:13" x14ac:dyDescent="0.25">
      <c r="B53" s="23" t="s">
        <v>58</v>
      </c>
      <c r="C53" s="227" t="s">
        <v>59</v>
      </c>
      <c r="D53" s="227"/>
      <c r="E53" s="227"/>
      <c r="F53" s="227"/>
      <c r="G53" s="227"/>
      <c r="H53" s="227"/>
      <c r="I53" s="227"/>
      <c r="J53" s="227"/>
      <c r="K53" s="227"/>
      <c r="L53" s="227"/>
      <c r="M53" s="227"/>
    </row>
    <row r="54" spans="2:13" x14ac:dyDescent="0.25">
      <c r="B54" s="23"/>
      <c r="F54" s="291" t="s">
        <v>96</v>
      </c>
      <c r="G54" s="291"/>
      <c r="H54" s="292" t="s">
        <v>141</v>
      </c>
      <c r="I54" s="292"/>
      <c r="J54" s="292"/>
      <c r="K54" s="293" t="s">
        <v>142</v>
      </c>
      <c r="L54" s="293"/>
      <c r="M54" s="293"/>
    </row>
    <row r="55" spans="2:13" x14ac:dyDescent="0.25">
      <c r="B55" s="23"/>
      <c r="C55" s="294" t="s">
        <v>145</v>
      </c>
      <c r="D55" s="294"/>
      <c r="E55" s="294"/>
      <c r="F55" s="179" t="s">
        <v>146</v>
      </c>
      <c r="G55" s="180" t="s">
        <v>143</v>
      </c>
      <c r="H55" s="181" t="s">
        <v>146</v>
      </c>
      <c r="I55" s="28" t="s">
        <v>143</v>
      </c>
      <c r="J55" s="182" t="s">
        <v>20</v>
      </c>
      <c r="K55" s="181" t="s">
        <v>146</v>
      </c>
      <c r="L55" s="28" t="s">
        <v>143</v>
      </c>
      <c r="M55" s="182" t="s">
        <v>20</v>
      </c>
    </row>
    <row r="56" spans="2:13" x14ac:dyDescent="0.25">
      <c r="B56" s="23"/>
      <c r="C56" s="297" t="str">
        <f>+ESTIMACION!C58</f>
        <v>DES1</v>
      </c>
      <c r="D56" s="297"/>
      <c r="E56" s="297"/>
      <c r="F56" s="183">
        <f>+ESTIMACION!L58</f>
        <v>360</v>
      </c>
      <c r="G56" s="184">
        <f>+ESTIMACION!N58</f>
        <v>566.66666666666674</v>
      </c>
      <c r="H56" s="185">
        <v>360</v>
      </c>
      <c r="I56" s="207">
        <f>+IF(F56=0,"N/A",H56*ESTIMACION!M58*ESTIMACION!I58*ESTIMACION!H58)</f>
        <v>566.66666666666674</v>
      </c>
      <c r="J56" s="186">
        <f t="shared" ref="J56:J63" si="3">+IF(F56=0,"N/A",H56/F56)</f>
        <v>1</v>
      </c>
      <c r="K56" s="208">
        <f t="shared" ref="K56:K63" si="4">+H56-F56</f>
        <v>0</v>
      </c>
      <c r="L56" s="209">
        <f t="shared" ref="L56:L63" si="5">IF(F56=0,"N/A",+I56-G56)</f>
        <v>0</v>
      </c>
      <c r="M56" s="189">
        <f t="shared" ref="M56:M63" si="6">IF(F56=0,"N/A",J56-1)</f>
        <v>0</v>
      </c>
    </row>
    <row r="57" spans="2:13" x14ac:dyDescent="0.25">
      <c r="B57" s="23"/>
      <c r="C57" s="287" t="str">
        <f>+ESTIMACION!C59</f>
        <v>DES2</v>
      </c>
      <c r="D57" s="287"/>
      <c r="E57" s="287"/>
      <c r="F57" s="183">
        <f>+ESTIMACION!L59</f>
        <v>360</v>
      </c>
      <c r="G57" s="190">
        <f>+ESTIMACION!N59</f>
        <v>800</v>
      </c>
      <c r="H57" s="185">
        <v>360</v>
      </c>
      <c r="I57" s="207">
        <f>+IF(F57=0,"N/A",H57*ESTIMACION!M59*ESTIMACION!I59*ESTIMACION!H59)</f>
        <v>800</v>
      </c>
      <c r="J57" s="186">
        <f t="shared" si="3"/>
        <v>1</v>
      </c>
      <c r="K57" s="210">
        <f t="shared" si="4"/>
        <v>0</v>
      </c>
      <c r="L57" s="209">
        <f t="shared" si="5"/>
        <v>0</v>
      </c>
      <c r="M57" s="186">
        <f t="shared" si="6"/>
        <v>0</v>
      </c>
    </row>
    <row r="58" spans="2:13" x14ac:dyDescent="0.25">
      <c r="B58" s="23"/>
      <c r="C58" s="287" t="str">
        <f>+ESTIMACION!C60</f>
        <v>SERV1</v>
      </c>
      <c r="D58" s="287"/>
      <c r="E58" s="287"/>
      <c r="F58" s="183">
        <f>+ESTIMACION!L60</f>
        <v>255</v>
      </c>
      <c r="G58" s="190">
        <f>+ESTIMACION!N60</f>
        <v>136</v>
      </c>
      <c r="H58" s="185">
        <v>255</v>
      </c>
      <c r="I58" s="207">
        <f>+IF(F58=0,"N/A",H58*ESTIMACION!M60*ESTIMACION!I60*ESTIMACION!H60)</f>
        <v>136</v>
      </c>
      <c r="J58" s="186">
        <f t="shared" si="3"/>
        <v>1</v>
      </c>
      <c r="K58" s="210">
        <f t="shared" si="4"/>
        <v>0</v>
      </c>
      <c r="L58" s="209">
        <f t="shared" si="5"/>
        <v>0</v>
      </c>
      <c r="M58" s="186">
        <f t="shared" si="6"/>
        <v>0</v>
      </c>
    </row>
    <row r="59" spans="2:13" x14ac:dyDescent="0.25">
      <c r="B59" s="23"/>
      <c r="C59" s="287" t="str">
        <f>+ESTIMACION!C61</f>
        <v>TAB1</v>
      </c>
      <c r="D59" s="287"/>
      <c r="E59" s="287"/>
      <c r="F59" s="183">
        <f>+ESTIMACION!L61</f>
        <v>0</v>
      </c>
      <c r="G59" s="190">
        <f>+ESTIMACION!N61</f>
        <v>0</v>
      </c>
      <c r="H59" s="185">
        <v>0</v>
      </c>
      <c r="I59" s="207" t="str">
        <f>+IF(F59=0,"N/A",H59*ESTIMACION!M61*ESTIMACION!I61*ESTIMACION!H61)</f>
        <v>N/A</v>
      </c>
      <c r="J59" s="186" t="str">
        <f t="shared" si="3"/>
        <v>N/A</v>
      </c>
      <c r="K59" s="210">
        <f t="shared" si="4"/>
        <v>0</v>
      </c>
      <c r="L59" s="209" t="str">
        <f t="shared" si="5"/>
        <v>N/A</v>
      </c>
      <c r="M59" s="186" t="str">
        <f t="shared" si="6"/>
        <v>N/A</v>
      </c>
    </row>
    <row r="60" spans="2:13" x14ac:dyDescent="0.25">
      <c r="B60" s="23"/>
      <c r="C60" s="287" t="str">
        <f>+ESTIMACION!C62</f>
        <v>MIND445</v>
      </c>
      <c r="D60" s="287"/>
      <c r="E60" s="287"/>
      <c r="F60" s="183">
        <f>+ESTIMACION!L62</f>
        <v>30</v>
      </c>
      <c r="G60" s="190">
        <f>+ESTIMACION!N62</f>
        <v>8.3333333333333339</v>
      </c>
      <c r="H60" s="185">
        <v>30</v>
      </c>
      <c r="I60" s="207">
        <f>+IF(F60=0,"N/A",H60*ESTIMACION!M62*ESTIMACION!I62*ESTIMACION!H62)</f>
        <v>8.3333333333333339</v>
      </c>
      <c r="J60" s="186">
        <f t="shared" si="3"/>
        <v>1</v>
      </c>
      <c r="K60" s="210">
        <f t="shared" si="4"/>
        <v>0</v>
      </c>
      <c r="L60" s="209">
        <f t="shared" si="5"/>
        <v>0</v>
      </c>
      <c r="M60" s="186">
        <f t="shared" si="6"/>
        <v>0</v>
      </c>
    </row>
    <row r="61" spans="2:13" x14ac:dyDescent="0.25">
      <c r="B61" s="23"/>
      <c r="C61" s="287" t="str">
        <f>+ESTIMACION!C63</f>
        <v>DWCS6</v>
      </c>
      <c r="D61" s="287"/>
      <c r="E61" s="287"/>
      <c r="F61" s="183">
        <f>+ESTIMACION!L63</f>
        <v>0</v>
      </c>
      <c r="G61" s="190">
        <f>+ESTIMACION!N63</f>
        <v>0</v>
      </c>
      <c r="H61" s="185">
        <v>0</v>
      </c>
      <c r="I61" s="207" t="str">
        <f>+IF(F61=0,"N/A",H61*ESTIMACION!M63*ESTIMACION!I63*ESTIMACION!H63)</f>
        <v>N/A</v>
      </c>
      <c r="J61" s="186" t="str">
        <f t="shared" si="3"/>
        <v>N/A</v>
      </c>
      <c r="K61" s="210">
        <f t="shared" si="4"/>
        <v>0</v>
      </c>
      <c r="L61" s="209" t="str">
        <f t="shared" si="5"/>
        <v>N/A</v>
      </c>
      <c r="M61" s="186" t="str">
        <f t="shared" si="6"/>
        <v>N/A</v>
      </c>
    </row>
    <row r="62" spans="2:13" x14ac:dyDescent="0.25">
      <c r="B62" s="23"/>
      <c r="C62" s="287" t="str">
        <f>+ESTIMACION!C64</f>
        <v>MVS2010</v>
      </c>
      <c r="D62" s="287"/>
      <c r="E62" s="287"/>
      <c r="F62" s="183">
        <f>+ESTIMACION!L64</f>
        <v>240</v>
      </c>
      <c r="G62" s="190">
        <f>+ESTIMACION!N64</f>
        <v>833.33333333333337</v>
      </c>
      <c r="H62" s="185">
        <v>240</v>
      </c>
      <c r="I62" s="207">
        <f>+IF(F62=0,"N/A",H62*ESTIMACION!M64*ESTIMACION!I64*ESTIMACION!H64)</f>
        <v>833.33333333333337</v>
      </c>
      <c r="J62" s="186">
        <f t="shared" si="3"/>
        <v>1</v>
      </c>
      <c r="K62" s="210">
        <f t="shared" si="4"/>
        <v>0</v>
      </c>
      <c r="L62" s="209">
        <f t="shared" si="5"/>
        <v>0</v>
      </c>
      <c r="M62" s="186">
        <f t="shared" si="6"/>
        <v>0</v>
      </c>
    </row>
    <row r="63" spans="2:13" x14ac:dyDescent="0.25">
      <c r="B63" s="23"/>
      <c r="C63" s="308" t="str">
        <f>+ESTIMACION!C65</f>
        <v>[Insertar]</v>
      </c>
      <c r="D63" s="308"/>
      <c r="E63" s="308"/>
      <c r="F63" s="192">
        <f>+ESTIMACION!L65</f>
        <v>0</v>
      </c>
      <c r="G63" s="211">
        <f>+ESTIMACION!N65</f>
        <v>0</v>
      </c>
      <c r="H63" s="194">
        <v>0</v>
      </c>
      <c r="I63" s="212" t="str">
        <f>+IF(F63=0,"N/A",H63*ESTIMACION!M65*ESTIMACION!I65*ESTIMACION!H65)</f>
        <v>N/A</v>
      </c>
      <c r="J63" s="196" t="str">
        <f t="shared" si="3"/>
        <v>N/A</v>
      </c>
      <c r="K63" s="213">
        <f t="shared" si="4"/>
        <v>0</v>
      </c>
      <c r="L63" s="214" t="str">
        <f t="shared" si="5"/>
        <v>N/A</v>
      </c>
      <c r="M63" s="196" t="str">
        <f t="shared" si="6"/>
        <v>N/A</v>
      </c>
    </row>
    <row r="64" spans="2:13" x14ac:dyDescent="0.25">
      <c r="B64" s="23"/>
    </row>
    <row r="65" spans="2:13" x14ac:dyDescent="0.25">
      <c r="B65" s="23"/>
      <c r="C65" s="305" t="s">
        <v>144</v>
      </c>
      <c r="D65" s="305"/>
      <c r="E65" s="305"/>
      <c r="F65" s="199">
        <f>SUM(F56:F63)</f>
        <v>1245</v>
      </c>
      <c r="G65" s="200">
        <f>SUM(G56:G63)</f>
        <v>2344.3333333333335</v>
      </c>
      <c r="H65" s="201">
        <f>SUM(H56:H63)</f>
        <v>1245</v>
      </c>
      <c r="I65" s="202">
        <f>SUM(I56:I63)</f>
        <v>2344.3333333333335</v>
      </c>
      <c r="J65" s="203">
        <f>+IF(F65=0,"N/A",H65/F65)</f>
        <v>1</v>
      </c>
      <c r="K65" s="204">
        <f>SUM(K56:K63)</f>
        <v>0</v>
      </c>
      <c r="L65" s="205">
        <f>SUM(L56:L63)</f>
        <v>0</v>
      </c>
      <c r="M65" s="206">
        <f>IF(F65=0,"N/A",J65-1)</f>
        <v>0</v>
      </c>
    </row>
    <row r="66" spans="2:13" x14ac:dyDescent="0.25">
      <c r="B66" s="23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</row>
    <row r="67" spans="2:13" x14ac:dyDescent="0.25">
      <c r="B67" s="23" t="s">
        <v>72</v>
      </c>
      <c r="C67" s="227" t="s">
        <v>73</v>
      </c>
      <c r="D67" s="227"/>
      <c r="E67" s="227"/>
      <c r="F67" s="227"/>
      <c r="G67" s="227"/>
      <c r="H67" s="227"/>
      <c r="I67" s="227"/>
      <c r="J67" s="227"/>
      <c r="K67" s="227"/>
      <c r="L67" s="227"/>
      <c r="M67" s="227"/>
    </row>
    <row r="68" spans="2:13" x14ac:dyDescent="0.25">
      <c r="B68" s="23"/>
      <c r="F68" s="291" t="s">
        <v>96</v>
      </c>
      <c r="G68" s="291"/>
      <c r="H68" s="292" t="s">
        <v>141</v>
      </c>
      <c r="I68" s="292"/>
      <c r="J68" s="292"/>
      <c r="K68" s="293" t="s">
        <v>142</v>
      </c>
      <c r="L68" s="293"/>
      <c r="M68" s="293"/>
    </row>
    <row r="69" spans="2:13" x14ac:dyDescent="0.25">
      <c r="B69" s="23"/>
      <c r="C69" s="294" t="s">
        <v>75</v>
      </c>
      <c r="D69" s="294"/>
      <c r="E69" s="294"/>
      <c r="F69" s="295" t="s">
        <v>143</v>
      </c>
      <c r="G69" s="295"/>
      <c r="H69" s="296" t="s">
        <v>143</v>
      </c>
      <c r="I69" s="296"/>
      <c r="J69" s="182" t="s">
        <v>20</v>
      </c>
      <c r="K69" s="296" t="s">
        <v>143</v>
      </c>
      <c r="L69" s="296"/>
      <c r="M69" s="182" t="s">
        <v>20</v>
      </c>
    </row>
    <row r="70" spans="2:13" x14ac:dyDescent="0.25">
      <c r="B70" s="23"/>
      <c r="C70" s="297" t="str">
        <f>+ESTIMACION!C73</f>
        <v>MATERIAL FUNGIBLE</v>
      </c>
      <c r="D70" s="297"/>
      <c r="E70" s="297"/>
      <c r="F70" s="298">
        <f>+ESTIMACION!N73</f>
        <v>330</v>
      </c>
      <c r="G70" s="298"/>
      <c r="H70" s="311">
        <v>330</v>
      </c>
      <c r="I70" s="311"/>
      <c r="J70" s="186">
        <f>+IF(F70=0,"N/A",H70/F70)</f>
        <v>1</v>
      </c>
      <c r="K70" s="312">
        <f>+H70-F70</f>
        <v>0</v>
      </c>
      <c r="L70" s="312"/>
      <c r="M70" s="189">
        <f>IF(F70=0,"N/A",J70-1)</f>
        <v>0</v>
      </c>
    </row>
    <row r="71" spans="2:13" x14ac:dyDescent="0.25">
      <c r="B71" s="23"/>
      <c r="C71" s="287" t="str">
        <f>+ESTIMACION!C74</f>
        <v>MATERIAL FUNGIBLE RESTO</v>
      </c>
      <c r="D71" s="287"/>
      <c r="E71" s="287"/>
      <c r="F71" s="288">
        <f>+ESTIMACION!N74</f>
        <v>495</v>
      </c>
      <c r="G71" s="288"/>
      <c r="H71" s="306">
        <v>695</v>
      </c>
      <c r="I71" s="306"/>
      <c r="J71" s="186">
        <f>+IF(F71=0,"N/A",H71/F71)</f>
        <v>1.404040404040404</v>
      </c>
      <c r="K71" s="307">
        <f>+H71-F71</f>
        <v>200</v>
      </c>
      <c r="L71" s="307"/>
      <c r="M71" s="186">
        <f>IF(F71=0,"N/A",J71-1)</f>
        <v>0.40404040404040398</v>
      </c>
    </row>
    <row r="72" spans="2:13" x14ac:dyDescent="0.25">
      <c r="B72" s="23"/>
      <c r="C72" s="287" t="str">
        <f>+ESTIMACION!C75</f>
        <v>VIAJES</v>
      </c>
      <c r="D72" s="287"/>
      <c r="E72" s="287"/>
      <c r="F72" s="288">
        <f>+ESTIMACION!N75</f>
        <v>990</v>
      </c>
      <c r="G72" s="288"/>
      <c r="H72" s="306">
        <f xml:space="preserve"> 165 * 4 + 375*2</f>
        <v>1410</v>
      </c>
      <c r="I72" s="306"/>
      <c r="J72" s="186">
        <f>+IF(F72=0,"N/A",H72/F72)</f>
        <v>1.4242424242424243</v>
      </c>
      <c r="K72" s="307">
        <f>+H72-F72</f>
        <v>420</v>
      </c>
      <c r="L72" s="307"/>
      <c r="M72" s="186">
        <f>IF(F72=0,"N/A",J72-1)</f>
        <v>0.42424242424242431</v>
      </c>
    </row>
    <row r="73" spans="2:13" x14ac:dyDescent="0.25">
      <c r="B73" s="23"/>
      <c r="C73" s="308" t="str">
        <f>+ESTIMACION!C77</f>
        <v>[Insertar más líneas aquí]</v>
      </c>
      <c r="D73" s="308"/>
      <c r="E73" s="308"/>
      <c r="F73" s="276">
        <f>+ESTIMACION!L78</f>
        <v>0</v>
      </c>
      <c r="G73" s="276"/>
      <c r="H73" s="309"/>
      <c r="I73" s="309"/>
      <c r="J73" s="196" t="str">
        <f>+IF(F73=0,"N/A",H73/F73)</f>
        <v>N/A</v>
      </c>
      <c r="K73" s="310">
        <f>+H73-F73</f>
        <v>0</v>
      </c>
      <c r="L73" s="310"/>
      <c r="M73" s="196" t="str">
        <f>IF(F73=0,"N/A",J73-1)</f>
        <v>N/A</v>
      </c>
    </row>
    <row r="74" spans="2:13" x14ac:dyDescent="0.25">
      <c r="B74" s="23"/>
    </row>
    <row r="75" spans="2:13" x14ac:dyDescent="0.25">
      <c r="B75" s="23"/>
      <c r="C75" s="305" t="s">
        <v>144</v>
      </c>
      <c r="D75" s="305"/>
      <c r="E75" s="305"/>
      <c r="F75" s="284">
        <f>SUM(F70:F73)</f>
        <v>1815</v>
      </c>
      <c r="G75" s="284"/>
      <c r="H75" s="285">
        <f>SUM(H70:H73)</f>
        <v>2435</v>
      </c>
      <c r="I75" s="285"/>
      <c r="J75" s="203">
        <f>+IF(F75=0,"N/A",H75/F75)</f>
        <v>1.3415977961432506</v>
      </c>
      <c r="K75" s="286">
        <f>SUM(K70:K73)</f>
        <v>620</v>
      </c>
      <c r="L75" s="286"/>
      <c r="M75" s="206">
        <f>IF(F75=0,"N/A",J75-1)</f>
        <v>0.34159779614325059</v>
      </c>
    </row>
    <row r="77" spans="2:13" x14ac:dyDescent="0.25">
      <c r="B77" s="23" t="s">
        <v>147</v>
      </c>
      <c r="C77" s="227" t="s">
        <v>119</v>
      </c>
      <c r="D77" s="227"/>
      <c r="E77" s="227"/>
      <c r="F77" s="227"/>
      <c r="G77" s="227"/>
      <c r="H77" s="227"/>
      <c r="I77" s="227"/>
      <c r="J77" s="227"/>
      <c r="K77" s="227"/>
      <c r="L77" s="227"/>
      <c r="M77" s="227"/>
    </row>
    <row r="78" spans="2:13" x14ac:dyDescent="0.25">
      <c r="B78" s="23"/>
      <c r="F78" s="291" t="s">
        <v>148</v>
      </c>
      <c r="G78" s="291"/>
      <c r="H78" s="292" t="s">
        <v>149</v>
      </c>
      <c r="I78" s="292"/>
      <c r="J78" s="292"/>
      <c r="K78" s="293" t="s">
        <v>142</v>
      </c>
      <c r="L78" s="293"/>
      <c r="M78" s="293"/>
    </row>
    <row r="79" spans="2:13" x14ac:dyDescent="0.25">
      <c r="B79" s="23"/>
      <c r="C79" s="294" t="s">
        <v>150</v>
      </c>
      <c r="D79" s="294"/>
      <c r="E79" s="294"/>
      <c r="F79" s="295" t="s">
        <v>151</v>
      </c>
      <c r="G79" s="295"/>
      <c r="H79" s="296" t="s">
        <v>151</v>
      </c>
      <c r="I79" s="296"/>
      <c r="J79" s="182" t="s">
        <v>20</v>
      </c>
      <c r="K79" s="296" t="s">
        <v>143</v>
      </c>
      <c r="L79" s="296"/>
      <c r="M79" s="182" t="s">
        <v>20</v>
      </c>
    </row>
    <row r="80" spans="2:13" x14ac:dyDescent="0.25">
      <c r="B80" s="23"/>
      <c r="C80" s="301" t="s">
        <v>152</v>
      </c>
      <c r="D80" s="301"/>
      <c r="E80" s="301"/>
      <c r="F80" s="302">
        <f>+ESTIMACION!N94</f>
        <v>97148.990151515143</v>
      </c>
      <c r="G80" s="302"/>
      <c r="H80" s="303">
        <f>F80</f>
        <v>97148.990151515143</v>
      </c>
      <c r="I80" s="303"/>
      <c r="J80" s="196">
        <f>+IF(F80=0,"N/A",H80/F80)</f>
        <v>1</v>
      </c>
      <c r="K80" s="304">
        <f>+H80-F80</f>
        <v>0</v>
      </c>
      <c r="L80" s="304"/>
      <c r="M80" s="215">
        <f>IF(F80=0,"N/A",J80-1)</f>
        <v>0</v>
      </c>
    </row>
    <row r="81" spans="1:13" x14ac:dyDescent="0.25">
      <c r="B81" s="23"/>
      <c r="C81" s="173"/>
      <c r="D81" s="173"/>
      <c r="E81" s="173"/>
      <c r="F81" s="216"/>
      <c r="G81" s="216"/>
      <c r="H81" s="216"/>
      <c r="I81" s="216"/>
      <c r="J81" s="167"/>
      <c r="K81" s="217"/>
      <c r="L81" s="217"/>
      <c r="M81" s="167"/>
    </row>
    <row r="82" spans="1:13" x14ac:dyDescent="0.25">
      <c r="B82" s="23"/>
      <c r="C82" s="305" t="s">
        <v>144</v>
      </c>
      <c r="D82" s="305"/>
      <c r="E82" s="305"/>
      <c r="F82" s="284">
        <f>SUM(F80)</f>
        <v>97148.990151515143</v>
      </c>
      <c r="G82" s="284"/>
      <c r="H82" s="285">
        <f>SUM(H80)</f>
        <v>97148.990151515143</v>
      </c>
      <c r="I82" s="285"/>
      <c r="J82" s="203">
        <f>+IF(F82=0,"N/A",H82/F82)</f>
        <v>1</v>
      </c>
      <c r="K82" s="286">
        <f>SUM(K80)</f>
        <v>0</v>
      </c>
      <c r="L82" s="286"/>
      <c r="M82" s="206">
        <f>IF(F82=0,"N/A",J82-1)</f>
        <v>0</v>
      </c>
    </row>
    <row r="83" spans="1:13" x14ac:dyDescent="0.25">
      <c r="B83" s="23"/>
    </row>
    <row r="84" spans="1:13" x14ac:dyDescent="0.25">
      <c r="A84" s="226" t="s">
        <v>153</v>
      </c>
      <c r="B84" s="226"/>
      <c r="C84" s="226"/>
      <c r="D84" s="226"/>
      <c r="E84" s="226"/>
      <c r="F84" s="226"/>
      <c r="G84" s="226"/>
      <c r="H84" s="226"/>
      <c r="I84" s="226"/>
      <c r="J84" s="226"/>
      <c r="K84" s="226"/>
      <c r="L84" s="226"/>
      <c r="M84" s="226"/>
    </row>
    <row r="85" spans="1:13" x14ac:dyDescent="0.25">
      <c r="B85" s="23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</row>
    <row r="86" spans="1:13" x14ac:dyDescent="0.25">
      <c r="B86" s="23"/>
      <c r="F86" s="291" t="s">
        <v>96</v>
      </c>
      <c r="G86" s="291"/>
      <c r="H86" s="292" t="s">
        <v>141</v>
      </c>
      <c r="I86" s="292"/>
      <c r="J86" s="292"/>
      <c r="K86" s="293" t="s">
        <v>142</v>
      </c>
      <c r="L86" s="293"/>
      <c r="M86" s="293"/>
    </row>
    <row r="87" spans="1:13" x14ac:dyDescent="0.25">
      <c r="B87" s="23"/>
      <c r="C87" s="294" t="s">
        <v>154</v>
      </c>
      <c r="D87" s="294"/>
      <c r="E87" s="294"/>
      <c r="F87" s="295" t="s">
        <v>143</v>
      </c>
      <c r="G87" s="295"/>
      <c r="H87" s="296" t="s">
        <v>143</v>
      </c>
      <c r="I87" s="296"/>
      <c r="J87" s="182" t="s">
        <v>20</v>
      </c>
      <c r="K87" s="296" t="s">
        <v>143</v>
      </c>
      <c r="L87" s="296"/>
      <c r="M87" s="182" t="s">
        <v>20</v>
      </c>
    </row>
    <row r="88" spans="1:13" x14ac:dyDescent="0.25">
      <c r="B88" s="23"/>
      <c r="C88" s="297" t="str">
        <f>+ESTIMACION!C88</f>
        <v>PERSONAL</v>
      </c>
      <c r="D88" s="297"/>
      <c r="E88" s="297"/>
      <c r="F88" s="298">
        <f>+G30</f>
        <v>67102.159090909088</v>
      </c>
      <c r="G88" s="298"/>
      <c r="H88" s="299">
        <f>+I30</f>
        <v>69254.36079545453</v>
      </c>
      <c r="I88" s="299"/>
      <c r="J88" s="186">
        <f t="shared" ref="J88:J94" si="7">+IF(F88=0,"N/A",H88/F88)</f>
        <v>1.0320735090152564</v>
      </c>
      <c r="K88" s="300">
        <f>+L30</f>
        <v>2152.201704545454</v>
      </c>
      <c r="L88" s="300"/>
      <c r="M88" s="189">
        <f>IF(F88=0,"N/A",J88-1)</f>
        <v>3.2073509015256407E-2</v>
      </c>
    </row>
    <row r="89" spans="1:13" x14ac:dyDescent="0.25">
      <c r="B89" s="23"/>
      <c r="C89" s="287" t="str">
        <f>+ESTIMACION!C89</f>
        <v>SUBCONTRATACIONES</v>
      </c>
      <c r="D89" s="287"/>
      <c r="E89" s="287"/>
      <c r="F89" s="288">
        <f>+F40</f>
        <v>0</v>
      </c>
      <c r="G89" s="288"/>
      <c r="H89" s="289">
        <f>+H40</f>
        <v>2228</v>
      </c>
      <c r="I89" s="289"/>
      <c r="J89" s="186" t="str">
        <f t="shared" si="7"/>
        <v>N/A</v>
      </c>
      <c r="K89" s="290">
        <f>+H89-F89</f>
        <v>2228</v>
      </c>
      <c r="L89" s="290"/>
      <c r="M89" s="186" t="str">
        <f>IF(F89=0,"N/A",J89-1)</f>
        <v>N/A</v>
      </c>
    </row>
    <row r="90" spans="1:13" x14ac:dyDescent="0.25">
      <c r="B90" s="23"/>
      <c r="C90" s="287" t="str">
        <f>+ESTIMACION!C90</f>
        <v>EQUIPAMIENTO</v>
      </c>
      <c r="D90" s="287"/>
      <c r="E90" s="287"/>
      <c r="F90" s="288">
        <f>+F51</f>
        <v>5151</v>
      </c>
      <c r="G90" s="288"/>
      <c r="H90" s="289">
        <f>+H51</f>
        <v>5099</v>
      </c>
      <c r="I90" s="289"/>
      <c r="J90" s="186">
        <f t="shared" si="7"/>
        <v>0.98990487284022521</v>
      </c>
      <c r="K90" s="290">
        <f>+H90-F90</f>
        <v>-52</v>
      </c>
      <c r="L90" s="290"/>
      <c r="M90" s="186">
        <f>IF(F90=0,"N/A",J90-1)</f>
        <v>-1.0095127159774786E-2</v>
      </c>
    </row>
    <row r="91" spans="1:13" x14ac:dyDescent="0.25">
      <c r="B91" s="23"/>
      <c r="C91" s="218" t="str">
        <f>+ESTIMACION!C91</f>
        <v>AMORTIZACION HW/SW</v>
      </c>
      <c r="D91" s="173"/>
      <c r="E91" s="219"/>
      <c r="F91" s="288">
        <f>+G65</f>
        <v>2344.3333333333335</v>
      </c>
      <c r="G91" s="288"/>
      <c r="H91" s="289">
        <f>+I65</f>
        <v>2344.3333333333335</v>
      </c>
      <c r="I91" s="289"/>
      <c r="J91" s="186">
        <f t="shared" si="7"/>
        <v>1</v>
      </c>
      <c r="K91" s="290">
        <f>+H91-F91</f>
        <v>0</v>
      </c>
      <c r="L91" s="290"/>
      <c r="M91" s="186">
        <f>IF(F91=0,"N/A",J91-1)</f>
        <v>0</v>
      </c>
    </row>
    <row r="92" spans="1:13" x14ac:dyDescent="0.25">
      <c r="B92" s="23"/>
      <c r="C92" s="275" t="str">
        <f>+ESTIMACION!C92</f>
        <v>OTROS GASTOS</v>
      </c>
      <c r="D92" s="275"/>
      <c r="E92" s="275"/>
      <c r="F92" s="276">
        <f>+F75</f>
        <v>1815</v>
      </c>
      <c r="G92" s="276"/>
      <c r="H92" s="277">
        <f>+H75</f>
        <v>2435</v>
      </c>
      <c r="I92" s="277"/>
      <c r="J92" s="196">
        <f t="shared" si="7"/>
        <v>1.3415977961432506</v>
      </c>
      <c r="K92" s="278">
        <f>+H92-F92</f>
        <v>620</v>
      </c>
      <c r="L92" s="278"/>
      <c r="M92" s="196">
        <f>IF(F92=0,"N/A",J92-1)</f>
        <v>0.34159779614325059</v>
      </c>
    </row>
    <row r="93" spans="1:13" x14ac:dyDescent="0.25">
      <c r="B93" s="23"/>
      <c r="C93" s="279" t="s">
        <v>119</v>
      </c>
      <c r="D93" s="279"/>
      <c r="E93" s="279"/>
      <c r="F93" s="280">
        <f>+F82</f>
        <v>97148.990151515143</v>
      </c>
      <c r="G93" s="280"/>
      <c r="H93" s="281">
        <f>+H82</f>
        <v>97148.990151515143</v>
      </c>
      <c r="I93" s="281"/>
      <c r="J93" s="220">
        <f t="shared" si="7"/>
        <v>1</v>
      </c>
      <c r="K93" s="282">
        <f>+K82</f>
        <v>0</v>
      </c>
      <c r="L93" s="282"/>
      <c r="M93" s="221">
        <f>+M82</f>
        <v>0</v>
      </c>
    </row>
    <row r="94" spans="1:13" x14ac:dyDescent="0.25">
      <c r="B94" s="23"/>
      <c r="C94" s="283" t="s">
        <v>155</v>
      </c>
      <c r="D94" s="283"/>
      <c r="E94" s="283"/>
      <c r="F94" s="284">
        <f>+F93-SUM(F88:G92)</f>
        <v>20736.497727272726</v>
      </c>
      <c r="G94" s="284"/>
      <c r="H94" s="285">
        <f>+H93-SUM(H88:I92)</f>
        <v>15788.296022727285</v>
      </c>
      <c r="I94" s="285"/>
      <c r="J94" s="203">
        <f t="shared" si="7"/>
        <v>0.76137717325151077</v>
      </c>
      <c r="K94" s="286">
        <f>SUM(K88:K92)</f>
        <v>4948.201704545454</v>
      </c>
      <c r="L94" s="286"/>
      <c r="M94" s="206">
        <f>IF(F94=0,"N/A",J94-1)</f>
        <v>-0.23862282674848923</v>
      </c>
    </row>
    <row r="95" spans="1:13" x14ac:dyDescent="0.25">
      <c r="B95" s="23"/>
      <c r="C95" s="173"/>
      <c r="D95" s="173"/>
      <c r="E95" s="173"/>
      <c r="F95" s="216"/>
      <c r="G95" s="216"/>
      <c r="H95" s="216"/>
      <c r="I95" s="216"/>
      <c r="J95" s="167"/>
      <c r="K95" s="217"/>
      <c r="L95" s="217"/>
      <c r="M95" s="167"/>
    </row>
    <row r="98" spans="1:13" x14ac:dyDescent="0.25">
      <c r="A98" s="226" t="s">
        <v>156</v>
      </c>
      <c r="B98" s="226"/>
      <c r="C98" s="226"/>
      <c r="D98" s="226"/>
      <c r="E98" s="226"/>
      <c r="F98" s="226"/>
      <c r="G98" s="226"/>
      <c r="H98" s="226"/>
      <c r="I98" s="226"/>
      <c r="J98" s="226"/>
      <c r="K98" s="226"/>
      <c r="L98" s="226"/>
      <c r="M98" s="226"/>
    </row>
    <row r="100" spans="1:13" x14ac:dyDescent="0.25">
      <c r="B100" s="23" t="s">
        <v>157</v>
      </c>
      <c r="C100" s="227" t="s">
        <v>158</v>
      </c>
      <c r="D100" s="227"/>
      <c r="E100" s="227"/>
      <c r="F100" s="227"/>
      <c r="G100" s="227"/>
      <c r="H100" s="227"/>
      <c r="I100" s="227"/>
      <c r="J100" s="227"/>
      <c r="K100" s="227"/>
      <c r="L100" s="227"/>
      <c r="M100" s="227"/>
    </row>
  </sheetData>
  <mergeCells count="183">
    <mergeCell ref="A1:M1"/>
    <mergeCell ref="A3:M3"/>
    <mergeCell ref="A5:B5"/>
    <mergeCell ref="C5:G5"/>
    <mergeCell ref="I5:J5"/>
    <mergeCell ref="K5:M5"/>
    <mergeCell ref="C6:G6"/>
    <mergeCell ref="I6:J6"/>
    <mergeCell ref="K6:M6"/>
    <mergeCell ref="A9:C9"/>
    <mergeCell ref="D9:E9"/>
    <mergeCell ref="I9:J9"/>
    <mergeCell ref="I10:J10"/>
    <mergeCell ref="I11:J11"/>
    <mergeCell ref="I12:J12"/>
    <mergeCell ref="I13:J13"/>
    <mergeCell ref="I14:J14"/>
    <mergeCell ref="A16:M16"/>
    <mergeCell ref="C18:M18"/>
    <mergeCell ref="F19:G19"/>
    <mergeCell ref="H19:J19"/>
    <mergeCell ref="K19:M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30:E30"/>
    <mergeCell ref="C32:M32"/>
    <mergeCell ref="F33:G33"/>
    <mergeCell ref="H33:J33"/>
    <mergeCell ref="K33:M33"/>
    <mergeCell ref="C34:E34"/>
    <mergeCell ref="F34:G34"/>
    <mergeCell ref="H34:I34"/>
    <mergeCell ref="K34:L34"/>
    <mergeCell ref="C35:E35"/>
    <mergeCell ref="F35:G35"/>
    <mergeCell ref="H35:I35"/>
    <mergeCell ref="K35:L35"/>
    <mergeCell ref="C36:E36"/>
    <mergeCell ref="F36:G36"/>
    <mergeCell ref="H36:I36"/>
    <mergeCell ref="K36:L36"/>
    <mergeCell ref="C37:E37"/>
    <mergeCell ref="F37:G37"/>
    <mergeCell ref="H37:I37"/>
    <mergeCell ref="K37:L37"/>
    <mergeCell ref="C38:E38"/>
    <mergeCell ref="F38:G38"/>
    <mergeCell ref="H38:I38"/>
    <mergeCell ref="K38:L38"/>
    <mergeCell ref="C40:E40"/>
    <mergeCell ref="F40:G40"/>
    <mergeCell ref="H40:I40"/>
    <mergeCell ref="K40:L40"/>
    <mergeCell ref="C43:M43"/>
    <mergeCell ref="F44:G44"/>
    <mergeCell ref="H44:J44"/>
    <mergeCell ref="K44:M44"/>
    <mergeCell ref="C45:E45"/>
    <mergeCell ref="F45:G45"/>
    <mergeCell ref="H45:I45"/>
    <mergeCell ref="K45:L45"/>
    <mergeCell ref="C46:E46"/>
    <mergeCell ref="F46:G46"/>
    <mergeCell ref="H46:I46"/>
    <mergeCell ref="K46:L46"/>
    <mergeCell ref="C47:E47"/>
    <mergeCell ref="F47:G47"/>
    <mergeCell ref="H47:I47"/>
    <mergeCell ref="K47:L47"/>
    <mergeCell ref="C48:E48"/>
    <mergeCell ref="F48:G48"/>
    <mergeCell ref="H48:I48"/>
    <mergeCell ref="K48:L48"/>
    <mergeCell ref="C49:E49"/>
    <mergeCell ref="F49:G49"/>
    <mergeCell ref="H49:I49"/>
    <mergeCell ref="K49:L49"/>
    <mergeCell ref="C51:E51"/>
    <mergeCell ref="F51:G51"/>
    <mergeCell ref="H51:I51"/>
    <mergeCell ref="K51:L51"/>
    <mergeCell ref="C53:M53"/>
    <mergeCell ref="F54:G54"/>
    <mergeCell ref="H54:J54"/>
    <mergeCell ref="K54:M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5:E65"/>
    <mergeCell ref="C67:M67"/>
    <mergeCell ref="F68:G68"/>
    <mergeCell ref="H68:J68"/>
    <mergeCell ref="K68:M68"/>
    <mergeCell ref="C69:E69"/>
    <mergeCell ref="F69:G69"/>
    <mergeCell ref="H69:I69"/>
    <mergeCell ref="K69:L69"/>
    <mergeCell ref="C70:E70"/>
    <mergeCell ref="F70:G70"/>
    <mergeCell ref="H70:I70"/>
    <mergeCell ref="K70:L70"/>
    <mergeCell ref="C71:E71"/>
    <mergeCell ref="F71:G71"/>
    <mergeCell ref="H71:I71"/>
    <mergeCell ref="K71:L71"/>
    <mergeCell ref="C72:E72"/>
    <mergeCell ref="F72:G72"/>
    <mergeCell ref="H72:I72"/>
    <mergeCell ref="K72:L72"/>
    <mergeCell ref="C73:E73"/>
    <mergeCell ref="F73:G73"/>
    <mergeCell ref="H73:I73"/>
    <mergeCell ref="K73:L73"/>
    <mergeCell ref="C75:E75"/>
    <mergeCell ref="F75:G75"/>
    <mergeCell ref="H75:I75"/>
    <mergeCell ref="K75:L75"/>
    <mergeCell ref="C77:M77"/>
    <mergeCell ref="F78:G78"/>
    <mergeCell ref="H78:J78"/>
    <mergeCell ref="K78:M78"/>
    <mergeCell ref="C79:E79"/>
    <mergeCell ref="F79:G79"/>
    <mergeCell ref="H79:I79"/>
    <mergeCell ref="K79:L79"/>
    <mergeCell ref="C80:E80"/>
    <mergeCell ref="F80:G80"/>
    <mergeCell ref="H80:I80"/>
    <mergeCell ref="K80:L80"/>
    <mergeCell ref="C82:E82"/>
    <mergeCell ref="F82:G82"/>
    <mergeCell ref="H82:I82"/>
    <mergeCell ref="K82:L82"/>
    <mergeCell ref="A84:M84"/>
    <mergeCell ref="F86:G86"/>
    <mergeCell ref="H86:J86"/>
    <mergeCell ref="K86:M86"/>
    <mergeCell ref="C87:E87"/>
    <mergeCell ref="F87:G87"/>
    <mergeCell ref="H87:I87"/>
    <mergeCell ref="K87:L87"/>
    <mergeCell ref="C88:E88"/>
    <mergeCell ref="F88:G88"/>
    <mergeCell ref="H88:I88"/>
    <mergeCell ref="K88:L88"/>
    <mergeCell ref="C89:E89"/>
    <mergeCell ref="F89:G89"/>
    <mergeCell ref="H89:I89"/>
    <mergeCell ref="K89:L89"/>
    <mergeCell ref="C90:E90"/>
    <mergeCell ref="F90:G90"/>
    <mergeCell ref="H90:I90"/>
    <mergeCell ref="K90:L90"/>
    <mergeCell ref="F91:G91"/>
    <mergeCell ref="H91:I91"/>
    <mergeCell ref="K91:L91"/>
    <mergeCell ref="A98:M98"/>
    <mergeCell ref="C100:M100"/>
    <mergeCell ref="C92:E92"/>
    <mergeCell ref="F92:G92"/>
    <mergeCell ref="H92:I92"/>
    <mergeCell ref="K92:L92"/>
    <mergeCell ref="C93:E93"/>
    <mergeCell ref="F93:G93"/>
    <mergeCell ref="H93:I93"/>
    <mergeCell ref="K93:L93"/>
    <mergeCell ref="C94:E94"/>
    <mergeCell ref="F94:G94"/>
    <mergeCell ref="H94:I94"/>
    <mergeCell ref="K94:L94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OVERHEAD</vt:lpstr>
      <vt:lpstr>ESTIMACION</vt:lpstr>
      <vt:lpstr>PLAN FINANCIERO</vt:lpstr>
      <vt:lpstr>INDICADORES</vt:lpstr>
      <vt:lpstr>CIERRE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juanjo</dc:creator>
  <dc:description/>
  <cp:lastModifiedBy>Camilet B</cp:lastModifiedBy>
  <cp:revision>3</cp:revision>
  <dcterms:created xsi:type="dcterms:W3CDTF">2015-04-20T16:30:13Z</dcterms:created>
  <dcterms:modified xsi:type="dcterms:W3CDTF">2022-05-18T08:43:08Z</dcterms:modified>
  <dc:language>es-ES</dc:language>
</cp:coreProperties>
</file>